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3B677116-9292-40B3-BBD4-F55F531D6ACB}" xr6:coauthVersionLast="47" xr6:coauthVersionMax="47" xr10:uidLastSave="{00000000-0000-0000-0000-000000000000}"/>
  <bookViews>
    <workbookView xWindow="-120" yWindow="-120" windowWidth="20730" windowHeight="11040" xr2:uid="{E8A519F3-2860-44F1-A7F2-CF0544AB9C00}"/>
  </bookViews>
  <sheets>
    <sheet name="Orders" sheetId="2" r:id="rId1"/>
    <sheet name="Suppliers" sheetId="1" r:id="rId2"/>
    <sheet name="Purchase Summary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<sst xmlns="http://schemas.openxmlformats.org/spreadsheetml/2006/main" count="144" uniqueCount="52">
  <si>
    <t>Supplier ID</t>
  </si>
  <si>
    <t>Suppliers</t>
  </si>
  <si>
    <t>Contact</t>
  </si>
  <si>
    <t>Email Address</t>
  </si>
  <si>
    <t>Telephone Number</t>
  </si>
  <si>
    <t>Contoso, Ldt.</t>
  </si>
  <si>
    <t>Fabrikam, inc.</t>
  </si>
  <si>
    <t>Northwind Traders</t>
  </si>
  <si>
    <t>Proseware, Inc.</t>
  </si>
  <si>
    <t>Wide World Importers</t>
  </si>
  <si>
    <t>Tangirala, Rakesh</t>
  </si>
  <si>
    <t>Shrader, Jill</t>
  </si>
  <si>
    <t>Rowe, Todd</t>
  </si>
  <si>
    <t>Price, Julian</t>
  </si>
  <si>
    <t>Navarro, Juan</t>
  </si>
  <si>
    <t>rakesh@contososuites.com</t>
  </si>
  <si>
    <t>julian@prosewaresuites.com</t>
  </si>
  <si>
    <t>jill@fabrikam.com</t>
  </si>
  <si>
    <t>todd@northwindtraders.com</t>
  </si>
  <si>
    <t>juan@wideworldimporters.com</t>
  </si>
  <si>
    <t>(216)555-0145</t>
  </si>
  <si>
    <t>(801)555-0178</t>
  </si>
  <si>
    <t>(760)555-0158</t>
  </si>
  <si>
    <t>(970)555-0133</t>
  </si>
  <si>
    <t>(212)555-0115</t>
  </si>
  <si>
    <t>A. Datum Corporation</t>
  </si>
  <si>
    <t>Purchase Orders</t>
  </si>
  <si>
    <t>Order ID</t>
  </si>
  <si>
    <t>Material</t>
  </si>
  <si>
    <t>Supplier</t>
  </si>
  <si>
    <t>Unit size</t>
  </si>
  <si>
    <t>Unit Cost</t>
  </si>
  <si>
    <t>Quantity</t>
  </si>
  <si>
    <t>Order Total</t>
  </si>
  <si>
    <t>Paper</t>
  </si>
  <si>
    <t>Wood</t>
  </si>
  <si>
    <t>Cardboard</t>
  </si>
  <si>
    <t>Plastic</t>
  </si>
  <si>
    <t>Contoso, Ltd.</t>
  </si>
  <si>
    <t>Roll</t>
  </si>
  <si>
    <t>Pack</t>
  </si>
  <si>
    <t>Sheet</t>
  </si>
  <si>
    <t>Boxes</t>
  </si>
  <si>
    <t>Tube</t>
  </si>
  <si>
    <t>Largest Order By Supplier</t>
  </si>
  <si>
    <t>Largest Order</t>
  </si>
  <si>
    <t>Row Labels</t>
  </si>
  <si>
    <t>Grand Total</t>
  </si>
  <si>
    <t>Count of Quantity</t>
  </si>
  <si>
    <t>Sum of Order Total</t>
  </si>
  <si>
    <t>Fabrikam, Inc.</t>
  </si>
  <si>
    <t>Nortwind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</si>
</sst>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/>
      <diagonal/>
    </border>
    <border>
      <left style="thin">
        <color indexed="64"/>
      </left>
      <right style="thin">
        <color rgb="FF0070C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1" xfId="0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 indent="1"/>
    </xf>
    <xf numFmtId="44" fontId="0" fillId="0" borderId="0" xfId="0" applyNumberFormat="1"/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cher Sergio" refreshedDate="46053.894805787037" createdVersion="8" refreshedVersion="8" minRefreshableVersion="3" recordCount="28" xr:uid="{5CF31B5F-C8A5-466E-8B07-5095EC6DE321}">
  <cacheSource type="worksheet">
    <worksheetSource name="Table2"/>
  </cacheSource>
  <cacheFields count="7">
    <cacheField name="Order ID" numFmtId="0">
      <sharedItems containsSemiMixedTypes="0" containsString="0" containsNumber="1" containsInteger="1" minValue="100115" maxValue="100246"/>
    </cacheField>
    <cacheField name="Material" numFmtId="0">
      <sharedItems count="4">
        <s v="Paper"/>
        <s v="Wood"/>
        <s v="Cardboard"/>
        <s v="Plastic"/>
      </sharedItems>
    </cacheField>
    <cacheField name="Supplier" numFmtId="0">
      <sharedItems count="4">
        <s v="Contoso, Ltd."/>
        <s v="Fabrikam, Inc."/>
        <s v="Wide World Importers"/>
        <s v="Nortwind Traders"/>
      </sharedItems>
    </cacheField>
    <cacheField name="Unit size" numFmtId="0">
      <sharedItems/>
    </cacheField>
    <cacheField name="Unit Cost" numFmtId="44">
      <sharedItems containsSemiMixedTypes="0" containsString="0" containsNumber="1" minValue="2.75" maxValue="300"/>
    </cacheField>
    <cacheField name="Quantity" numFmtId="0">
      <sharedItems containsSemiMixedTypes="0" containsString="0" containsNumber="1" containsInteger="1" minValue="1" maxValue="50"/>
    </cacheField>
    <cacheField name="Order Total" numFmtId="44">
      <sharedItems containsSemiMixedTypes="0" containsString="0" containsNumber="1" minValue="18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00115"/>
    <x v="0"/>
    <x v="0"/>
    <s v="Roll"/>
    <n v="55"/>
    <n v="10"/>
    <n v="550"/>
  </r>
  <r>
    <n v="100115"/>
    <x v="1"/>
    <x v="0"/>
    <s v="Pack"/>
    <n v="32"/>
    <n v="1"/>
    <n v="32"/>
  </r>
  <r>
    <n v="100123"/>
    <x v="0"/>
    <x v="0"/>
    <s v="Sheet"/>
    <n v="13.25"/>
    <n v="5"/>
    <n v="66.75"/>
  </r>
  <r>
    <n v="100123"/>
    <x v="1"/>
    <x v="0"/>
    <s v="Pack"/>
    <n v="36.5"/>
    <n v="15"/>
    <n v="547.5"/>
  </r>
  <r>
    <n v="100194"/>
    <x v="2"/>
    <x v="1"/>
    <s v="Boxes"/>
    <n v="20"/>
    <n v="30"/>
    <n v="600"/>
  </r>
  <r>
    <n v="100194"/>
    <x v="0"/>
    <x v="0"/>
    <s v="Roll"/>
    <n v="55"/>
    <n v="2"/>
    <n v="110"/>
  </r>
  <r>
    <n v="100194"/>
    <x v="3"/>
    <x v="0"/>
    <s v="Tube"/>
    <n v="3"/>
    <n v="6"/>
    <n v="18"/>
  </r>
  <r>
    <n v="100227"/>
    <x v="2"/>
    <x v="2"/>
    <s v="Roll"/>
    <n v="300"/>
    <n v="1"/>
    <n v="300"/>
  </r>
  <r>
    <n v="100227"/>
    <x v="2"/>
    <x v="0"/>
    <s v="Roll"/>
    <n v="300"/>
    <n v="1"/>
    <n v="300"/>
  </r>
  <r>
    <n v="100228"/>
    <x v="0"/>
    <x v="1"/>
    <s v="Sheet"/>
    <n v="12"/>
    <n v="20"/>
    <n v="240"/>
  </r>
  <r>
    <n v="100229"/>
    <x v="3"/>
    <x v="0"/>
    <s v="Tube"/>
    <n v="4.5"/>
    <n v="40"/>
    <n v="180"/>
  </r>
  <r>
    <n v="100230"/>
    <x v="1"/>
    <x v="0"/>
    <s v="Pack"/>
    <n v="28"/>
    <n v="5"/>
    <n v="140"/>
  </r>
  <r>
    <n v="100231"/>
    <x v="2"/>
    <x v="1"/>
    <s v="Boxes"/>
    <n v="22"/>
    <n v="18"/>
    <n v="396"/>
  </r>
  <r>
    <n v="100232"/>
    <x v="0"/>
    <x v="0"/>
    <s v="Roll"/>
    <n v="60"/>
    <n v="3"/>
    <n v="180"/>
  </r>
  <r>
    <n v="100233"/>
    <x v="3"/>
    <x v="3"/>
    <s v="Sheet"/>
    <n v="2.75"/>
    <n v="50"/>
    <n v="137.5"/>
  </r>
  <r>
    <n v="100234"/>
    <x v="1"/>
    <x v="0"/>
    <s v="Pack"/>
    <n v="35"/>
    <n v="12"/>
    <n v="420"/>
  </r>
  <r>
    <n v="100235"/>
    <x v="2"/>
    <x v="0"/>
    <s v="Boxes"/>
    <n v="18"/>
    <n v="25"/>
    <n v="450"/>
  </r>
  <r>
    <n v="100236"/>
    <x v="0"/>
    <x v="2"/>
    <s v="Sheet"/>
    <n v="14"/>
    <n v="10"/>
    <n v="140"/>
  </r>
  <r>
    <n v="100237"/>
    <x v="3"/>
    <x v="0"/>
    <s v="Tube"/>
    <n v="3.25"/>
    <n v="16"/>
    <n v="52"/>
  </r>
  <r>
    <n v="100238"/>
    <x v="1"/>
    <x v="3"/>
    <s v="Roll"/>
    <n v="120"/>
    <n v="2"/>
    <n v="240"/>
  </r>
  <r>
    <n v="100239"/>
    <x v="2"/>
    <x v="0"/>
    <s v="Pack"/>
    <n v="45"/>
    <n v="6"/>
    <n v="270"/>
  </r>
  <r>
    <n v="100240"/>
    <x v="0"/>
    <x v="1"/>
    <s v="Roll"/>
    <n v="58"/>
    <n v="4"/>
    <n v="232"/>
  </r>
  <r>
    <n v="100241"/>
    <x v="3"/>
    <x v="0"/>
    <s v="Boxes"/>
    <n v="15"/>
    <n v="14"/>
    <n v="210"/>
  </r>
  <r>
    <n v="100242"/>
    <x v="1"/>
    <x v="2"/>
    <s v="Sheet"/>
    <n v="9.5"/>
    <n v="30"/>
    <n v="285"/>
  </r>
  <r>
    <n v="100243"/>
    <x v="2"/>
    <x v="3"/>
    <s v="Roll"/>
    <n v="250"/>
    <n v="2"/>
    <n v="500"/>
  </r>
  <r>
    <n v="100244"/>
    <x v="0"/>
    <x v="1"/>
    <s v="Pack"/>
    <n v="40"/>
    <n v="8"/>
    <n v="320"/>
  </r>
  <r>
    <n v="100245"/>
    <x v="3"/>
    <x v="0"/>
    <s v="Tube"/>
    <n v="5"/>
    <n v="22"/>
    <n v="110"/>
  </r>
  <r>
    <n v="100246"/>
    <x v="1"/>
    <x v="2"/>
    <s v="Pack"/>
    <n v="33"/>
    <n v="9"/>
    <n v="2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88EE7-7194-4BED-BA03-FBACC92085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7">
    <pivotField showAll="0"/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44" showAll="0"/>
    <pivotField dataField="1" showAll="0"/>
    <pivotField dataField="1" numFmtId="44" showAll="0"/>
  </pivotFields>
  <rowFields count="2">
    <field x="1"/>
    <field x="2"/>
  </rowFields>
  <rowItems count="1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2"/>
    </i>
    <i>
      <x v="3"/>
    </i>
    <i r="1">
      <x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5" subtotal="count" baseField="1" baseItem="0"/>
    <dataField name="Sum of Order Total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CF7390-95C9-4444-87CE-90384AA18A69}" name="Table2" displayName="Table2" ref="A3:G31" totalsRowShown="0" headerRowDxfId="16" dataDxfId="15">
  <autoFilter ref="A3:G31" xr:uid="{93CF7390-95C9-4444-87CE-90384AA18A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7E6C122-BD05-4D00-A90A-FF25B23064F9}" name="Order ID" dataDxfId="14"/>
    <tableColumn id="2" xr3:uid="{98FA0F1C-F1DF-4E39-AF88-1D5C49D76049}" name="Material" dataDxfId="13"/>
    <tableColumn id="3" xr3:uid="{FDCE1D0B-AF9C-4C85-8F82-3B2FC3A4A01C}" name="Supplier" dataDxfId="12"/>
    <tableColumn id="4" xr3:uid="{1B08D23E-6D84-4FC5-A7C9-82D34B7C13F2}" name="Unit size" dataDxfId="11"/>
    <tableColumn id="5" xr3:uid="{928897BD-3AAC-4DF0-8E5E-9255C442D22F}" name="Unit Cost" dataDxfId="10"/>
    <tableColumn id="6" xr3:uid="{B319D492-7F4F-4FD6-B98C-C564A5BDB178}" name="Quantity" dataDxfId="9"/>
    <tableColumn id="7" xr3:uid="{D22FACBE-FC17-47EC-8CC8-52DA269EA9C7}" name="Order Total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9BE9D-F60D-4A59-AE06-B7DB84A4E979}" name="Table1" displayName="Table1" ref="A1:E6" totalsRowShown="0" headerRowDxfId="7" dataDxfId="6" tableBorderDxfId="5">
  <autoFilter ref="A1:E6" xr:uid="{8A99BE9D-F60D-4A59-AE06-B7DB84A4E97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4360B3-28A4-4D13-9139-5C44B55B7A24}" name="Supplier ID" dataDxfId="4"/>
    <tableColumn id="2" xr3:uid="{52848A5A-EBEE-463C-8383-36251800CCBA}" name="Suppliers" dataDxfId="3"/>
    <tableColumn id="3" xr3:uid="{3483A8F4-6AE4-4A59-9D66-9F4208EFBABC}" name="Contact" dataDxfId="2"/>
    <tableColumn id="4" xr3:uid="{25EE7569-E6EE-4165-96A7-B97BA3DB8BBF}" name="Email Address" dataDxfId="1" dataCellStyle="Hyperlink"/>
    <tableColumn id="5" xr3:uid="{80A328D1-B12B-4514-B879-EBB1A840CC47}" name="Telephone Numbe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dd@northwindtraders.com" TargetMode="External"/><Relationship Id="rId2" Type="http://schemas.openxmlformats.org/officeDocument/2006/relationships/hyperlink" Target="mailto:jill@fabrikam.com" TargetMode="External"/><Relationship Id="rId1" Type="http://schemas.openxmlformats.org/officeDocument/2006/relationships/hyperlink" Target="mailto:rakesh@contososuites.com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uan@wideworldimporters.com" TargetMode="External"/><Relationship Id="rId4" Type="http://schemas.openxmlformats.org/officeDocument/2006/relationships/hyperlink" Target="mailto:julian@prosewaresuite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01F7-8CE1-4EC8-9D48-3842A5152A28}">
  <dimension ref="A1:J31"/>
  <sheetViews>
    <sheetView tabSelected="1" workbookViewId="0">
      <selection activeCell="I14" sqref="I14"/>
    </sheetView>
  </sheetViews>
  <sheetFormatPr defaultRowHeight="15" x14ac:dyDescent="0.25"/>
  <cols>
    <col min="1" max="1" width="28" customWidth="1"/>
    <col min="2" max="2" width="13.7109375" customWidth="1"/>
    <col min="3" max="3" width="22.42578125" customWidth="1"/>
    <col min="4" max="4" width="10.85546875" customWidth="1"/>
    <col min="5" max="5" width="11.28515625" customWidth="1"/>
    <col min="6" max="6" width="10.85546875" customWidth="1"/>
    <col min="7" max="7" width="18.140625" customWidth="1"/>
    <col min="9" max="9" width="20.140625" customWidth="1"/>
    <col min="10" max="10" width="21" customWidth="1"/>
  </cols>
  <sheetData>
    <row r="1" spans="1:10" ht="21" x14ac:dyDescent="0.35">
      <c r="A1" s="6" t="s">
        <v>25</v>
      </c>
    </row>
    <row r="2" spans="1:10" ht="21" x14ac:dyDescent="0.35">
      <c r="A2" s="5" t="s">
        <v>26</v>
      </c>
      <c r="I2" s="15" t="s">
        <v>44</v>
      </c>
      <c r="J2" s="16"/>
    </row>
    <row r="3" spans="1:1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I3" s="9" t="s">
        <v>29</v>
      </c>
      <c r="J3" s="10" t="s">
        <v>51</v>
      </c>
    </row>
    <row r="4" spans="1:10" x14ac:dyDescent="0.25">
      <c r="A4" s="3">
        <v>100115</v>
      </c>
      <c r="B4" s="3" t="s">
        <v>34</v>
      </c>
      <c r="C4" s="3" t="s">
        <v>38</v>
      </c>
      <c r="D4" s="3" t="s">
        <v>39</v>
      </c>
      <c r="E4" s="4">
        <v>55</v>
      </c>
      <c r="F4" s="3">
        <v>10</v>
      </c>
      <c r="G4" s="4">
        <v>550</v>
      </c>
      <c r="I4" s="8" t="s">
        <v>28</v>
      </c>
      <c r="J4" s="10" t="s">
        <v>36</v>
      </c>
    </row>
    <row r="5" spans="1:10" x14ac:dyDescent="0.25">
      <c r="A5" s="3">
        <v>100115</v>
      </c>
      <c r="B5" s="3" t="s">
        <v>35</v>
      </c>
      <c r="C5" s="3" t="s">
        <v>38</v>
      </c>
      <c r="D5" s="3" t="s">
        <v>40</v>
      </c>
      <c r="E5" s="4">
        <v>32</v>
      </c>
      <c r="F5" s="3">
        <v>1</v>
      </c>
      <c r="G5" s="4">
        <v>32</v>
      </c>
      <c r="I5" s="7" t="s">
        <v>45</v>
      </c>
      <c r="J5" s="11"/>
    </row>
    <row r="6" spans="1:10" x14ac:dyDescent="0.25">
      <c r="A6" s="3">
        <v>100123</v>
      </c>
      <c r="B6" s="3" t="s">
        <v>34</v>
      </c>
      <c r="C6" s="3" t="s">
        <v>38</v>
      </c>
      <c r="D6" s="3" t="s">
        <v>41</v>
      </c>
      <c r="E6" s="4">
        <v>13.25</v>
      </c>
      <c r="F6" s="3">
        <v>5</v>
      </c>
      <c r="G6" s="4">
        <v>66.75</v>
      </c>
    </row>
    <row r="7" spans="1:10" x14ac:dyDescent="0.25">
      <c r="A7" s="3">
        <v>100123</v>
      </c>
      <c r="B7" s="3" t="s">
        <v>35</v>
      </c>
      <c r="C7" s="3" t="s">
        <v>38</v>
      </c>
      <c r="D7" s="3" t="s">
        <v>40</v>
      </c>
      <c r="E7" s="4">
        <v>36.5</v>
      </c>
      <c r="F7" s="3">
        <v>15</v>
      </c>
      <c r="G7" s="4">
        <v>547.5</v>
      </c>
    </row>
    <row r="8" spans="1:10" x14ac:dyDescent="0.25">
      <c r="A8" s="3">
        <v>100194</v>
      </c>
      <c r="B8" s="3" t="s">
        <v>36</v>
      </c>
      <c r="C8" s="3" t="s">
        <v>50</v>
      </c>
      <c r="D8" s="3" t="s">
        <v>42</v>
      </c>
      <c r="E8" s="4">
        <v>20</v>
      </c>
      <c r="F8" s="3">
        <v>30</v>
      </c>
      <c r="G8" s="4">
        <v>600</v>
      </c>
    </row>
    <row r="9" spans="1:10" x14ac:dyDescent="0.25">
      <c r="A9" s="3">
        <v>100194</v>
      </c>
      <c r="B9" s="3" t="s">
        <v>34</v>
      </c>
      <c r="C9" s="3" t="s">
        <v>38</v>
      </c>
      <c r="D9" s="3" t="s">
        <v>39</v>
      </c>
      <c r="E9" s="4">
        <v>55</v>
      </c>
      <c r="F9" s="3">
        <v>2</v>
      </c>
      <c r="G9" s="4">
        <v>110</v>
      </c>
    </row>
    <row r="10" spans="1:10" x14ac:dyDescent="0.25">
      <c r="A10" s="3">
        <v>100194</v>
      </c>
      <c r="B10" s="3" t="s">
        <v>37</v>
      </c>
      <c r="C10" s="3" t="s">
        <v>38</v>
      </c>
      <c r="D10" s="3" t="s">
        <v>43</v>
      </c>
      <c r="E10" s="4">
        <v>3</v>
      </c>
      <c r="F10" s="3">
        <v>6</v>
      </c>
      <c r="G10" s="4">
        <v>18</v>
      </c>
    </row>
    <row r="11" spans="1:10" x14ac:dyDescent="0.25">
      <c r="A11" s="3">
        <v>100227</v>
      </c>
      <c r="B11" s="3" t="s">
        <v>36</v>
      </c>
      <c r="C11" s="3" t="s">
        <v>9</v>
      </c>
      <c r="D11" s="3" t="s">
        <v>39</v>
      </c>
      <c r="E11" s="4">
        <v>300</v>
      </c>
      <c r="F11" s="3">
        <v>1</v>
      </c>
      <c r="G11" s="4">
        <v>300</v>
      </c>
    </row>
    <row r="12" spans="1:10" x14ac:dyDescent="0.25">
      <c r="A12" s="3">
        <v>100227</v>
      </c>
      <c r="B12" s="3" t="s">
        <v>36</v>
      </c>
      <c r="C12" s="3" t="s">
        <v>38</v>
      </c>
      <c r="D12" s="3" t="s">
        <v>39</v>
      </c>
      <c r="E12" s="4">
        <v>300</v>
      </c>
      <c r="F12" s="3">
        <v>1</v>
      </c>
      <c r="G12" s="4">
        <v>300</v>
      </c>
    </row>
    <row r="13" spans="1:10" x14ac:dyDescent="0.25">
      <c r="A13" s="3">
        <v>100228</v>
      </c>
      <c r="B13" s="3" t="s">
        <v>34</v>
      </c>
      <c r="C13" s="3" t="s">
        <v>50</v>
      </c>
      <c r="D13" s="3" t="s">
        <v>41</v>
      </c>
      <c r="E13" s="4">
        <v>12</v>
      </c>
      <c r="F13" s="3">
        <v>20</v>
      </c>
      <c r="G13" s="4">
        <v>240</v>
      </c>
    </row>
    <row r="14" spans="1:10" x14ac:dyDescent="0.25">
      <c r="A14" s="3">
        <v>100229</v>
      </c>
      <c r="B14" s="3" t="s">
        <v>37</v>
      </c>
      <c r="C14" s="3" t="s">
        <v>38</v>
      </c>
      <c r="D14" s="3" t="s">
        <v>43</v>
      </c>
      <c r="E14" s="4">
        <v>4.5</v>
      </c>
      <c r="F14" s="3">
        <v>40</v>
      </c>
      <c r="G14" s="4">
        <v>180</v>
      </c>
    </row>
    <row r="15" spans="1:10" x14ac:dyDescent="0.25">
      <c r="A15" s="3">
        <v>100230</v>
      </c>
      <c r="B15" s="3" t="s">
        <v>35</v>
      </c>
      <c r="C15" s="3" t="s">
        <v>38</v>
      </c>
      <c r="D15" s="3" t="s">
        <v>40</v>
      </c>
      <c r="E15" s="4">
        <v>28</v>
      </c>
      <c r="F15" s="3">
        <v>5</v>
      </c>
      <c r="G15" s="4">
        <v>140</v>
      </c>
    </row>
    <row r="16" spans="1:10" x14ac:dyDescent="0.25">
      <c r="A16" s="3">
        <v>100231</v>
      </c>
      <c r="B16" s="3" t="s">
        <v>36</v>
      </c>
      <c r="C16" s="3" t="s">
        <v>50</v>
      </c>
      <c r="D16" s="3" t="s">
        <v>42</v>
      </c>
      <c r="E16" s="4">
        <v>22</v>
      </c>
      <c r="F16" s="3">
        <v>18</v>
      </c>
      <c r="G16" s="4">
        <v>396</v>
      </c>
    </row>
    <row r="17" spans="1:7" x14ac:dyDescent="0.25">
      <c r="A17" s="3">
        <v>100232</v>
      </c>
      <c r="B17" s="3" t="s">
        <v>34</v>
      </c>
      <c r="C17" s="3" t="s">
        <v>38</v>
      </c>
      <c r="D17" s="3" t="s">
        <v>39</v>
      </c>
      <c r="E17" s="4">
        <v>60</v>
      </c>
      <c r="F17" s="3">
        <v>3</v>
      </c>
      <c r="G17" s="4">
        <v>180</v>
      </c>
    </row>
    <row r="18" spans="1:7" x14ac:dyDescent="0.25">
      <c r="A18" s="3">
        <v>100233</v>
      </c>
      <c r="B18" s="3" t="s">
        <v>37</v>
      </c>
      <c r="C18" s="3" t="s">
        <v>51</v>
      </c>
      <c r="D18" s="3" t="s">
        <v>41</v>
      </c>
      <c r="E18" s="4">
        <v>2.75</v>
      </c>
      <c r="F18" s="3">
        <v>50</v>
      </c>
      <c r="G18" s="4">
        <v>137.5</v>
      </c>
    </row>
    <row r="19" spans="1:7" x14ac:dyDescent="0.25">
      <c r="A19" s="3">
        <v>100234</v>
      </c>
      <c r="B19" s="3" t="s">
        <v>35</v>
      </c>
      <c r="C19" s="3" t="s">
        <v>38</v>
      </c>
      <c r="D19" s="3" t="s">
        <v>40</v>
      </c>
      <c r="E19" s="4">
        <v>35</v>
      </c>
      <c r="F19" s="3">
        <v>12</v>
      </c>
      <c r="G19" s="4">
        <v>420</v>
      </c>
    </row>
    <row r="20" spans="1:7" x14ac:dyDescent="0.25">
      <c r="A20" s="3">
        <v>100235</v>
      </c>
      <c r="B20" s="3" t="s">
        <v>36</v>
      </c>
      <c r="C20" s="3" t="s">
        <v>38</v>
      </c>
      <c r="D20" s="3" t="s">
        <v>42</v>
      </c>
      <c r="E20" s="4">
        <v>18</v>
      </c>
      <c r="F20" s="3">
        <v>25</v>
      </c>
      <c r="G20" s="4">
        <v>450</v>
      </c>
    </row>
    <row r="21" spans="1:7" x14ac:dyDescent="0.25">
      <c r="A21" s="3">
        <v>100236</v>
      </c>
      <c r="B21" s="3" t="s">
        <v>34</v>
      </c>
      <c r="C21" s="3" t="s">
        <v>9</v>
      </c>
      <c r="D21" s="3" t="s">
        <v>41</v>
      </c>
      <c r="E21" s="4">
        <v>14</v>
      </c>
      <c r="F21" s="3">
        <v>10</v>
      </c>
      <c r="G21" s="4">
        <v>140</v>
      </c>
    </row>
    <row r="22" spans="1:7" x14ac:dyDescent="0.25">
      <c r="A22" s="3">
        <v>100237</v>
      </c>
      <c r="B22" s="3" t="s">
        <v>37</v>
      </c>
      <c r="C22" s="3" t="s">
        <v>38</v>
      </c>
      <c r="D22" s="3" t="s">
        <v>43</v>
      </c>
      <c r="E22" s="4">
        <v>3.25</v>
      </c>
      <c r="F22" s="3">
        <v>16</v>
      </c>
      <c r="G22" s="4">
        <v>52</v>
      </c>
    </row>
    <row r="23" spans="1:7" x14ac:dyDescent="0.25">
      <c r="A23" s="3">
        <v>100238</v>
      </c>
      <c r="B23" s="3" t="s">
        <v>35</v>
      </c>
      <c r="C23" s="3" t="s">
        <v>51</v>
      </c>
      <c r="D23" s="3" t="s">
        <v>39</v>
      </c>
      <c r="E23" s="4">
        <v>120</v>
      </c>
      <c r="F23" s="3">
        <v>2</v>
      </c>
      <c r="G23" s="4">
        <v>240</v>
      </c>
    </row>
    <row r="24" spans="1:7" x14ac:dyDescent="0.25">
      <c r="A24" s="3">
        <v>100239</v>
      </c>
      <c r="B24" s="3" t="s">
        <v>36</v>
      </c>
      <c r="C24" s="3" t="s">
        <v>38</v>
      </c>
      <c r="D24" s="3" t="s">
        <v>40</v>
      </c>
      <c r="E24" s="4">
        <v>45</v>
      </c>
      <c r="F24" s="3">
        <v>6</v>
      </c>
      <c r="G24" s="4">
        <v>270</v>
      </c>
    </row>
    <row r="25" spans="1:7" x14ac:dyDescent="0.25">
      <c r="A25" s="3">
        <v>100240</v>
      </c>
      <c r="B25" s="3" t="s">
        <v>34</v>
      </c>
      <c r="C25" s="3" t="s">
        <v>50</v>
      </c>
      <c r="D25" s="3" t="s">
        <v>39</v>
      </c>
      <c r="E25" s="4">
        <v>58</v>
      </c>
      <c r="F25" s="3">
        <v>4</v>
      </c>
      <c r="G25" s="4">
        <v>232</v>
      </c>
    </row>
    <row r="26" spans="1:7" x14ac:dyDescent="0.25">
      <c r="A26" s="3">
        <v>100241</v>
      </c>
      <c r="B26" s="3" t="s">
        <v>37</v>
      </c>
      <c r="C26" s="3" t="s">
        <v>38</v>
      </c>
      <c r="D26" s="3" t="s">
        <v>42</v>
      </c>
      <c r="E26" s="4">
        <v>15</v>
      </c>
      <c r="F26" s="3">
        <v>14</v>
      </c>
      <c r="G26" s="4">
        <v>210</v>
      </c>
    </row>
    <row r="27" spans="1:7" x14ac:dyDescent="0.25">
      <c r="A27" s="3">
        <v>100242</v>
      </c>
      <c r="B27" s="3" t="s">
        <v>35</v>
      </c>
      <c r="C27" s="3" t="s">
        <v>9</v>
      </c>
      <c r="D27" s="3" t="s">
        <v>41</v>
      </c>
      <c r="E27" s="4">
        <v>9.5</v>
      </c>
      <c r="F27" s="3">
        <v>30</v>
      </c>
      <c r="G27" s="4">
        <v>285</v>
      </c>
    </row>
    <row r="28" spans="1:7" x14ac:dyDescent="0.25">
      <c r="A28" s="3">
        <v>100243</v>
      </c>
      <c r="B28" s="3" t="s">
        <v>36</v>
      </c>
      <c r="C28" s="3" t="s">
        <v>51</v>
      </c>
      <c r="D28" s="3" t="s">
        <v>39</v>
      </c>
      <c r="E28" s="4">
        <v>250</v>
      </c>
      <c r="F28" s="3">
        <v>2</v>
      </c>
      <c r="G28" s="4">
        <v>500</v>
      </c>
    </row>
    <row r="29" spans="1:7" x14ac:dyDescent="0.25">
      <c r="A29" s="3">
        <v>100244</v>
      </c>
      <c r="B29" s="3" t="s">
        <v>34</v>
      </c>
      <c r="C29" s="3" t="s">
        <v>50</v>
      </c>
      <c r="D29" s="3" t="s">
        <v>40</v>
      </c>
      <c r="E29" s="4">
        <v>40</v>
      </c>
      <c r="F29" s="3">
        <v>8</v>
      </c>
      <c r="G29" s="4">
        <v>320</v>
      </c>
    </row>
    <row r="30" spans="1:7" x14ac:dyDescent="0.25">
      <c r="A30" s="3">
        <v>100245</v>
      </c>
      <c r="B30" s="3" t="s">
        <v>37</v>
      </c>
      <c r="C30" s="3" t="s">
        <v>38</v>
      </c>
      <c r="D30" s="3" t="s">
        <v>43</v>
      </c>
      <c r="E30" s="4">
        <v>5</v>
      </c>
      <c r="F30" s="3">
        <v>22</v>
      </c>
      <c r="G30" s="4">
        <v>110</v>
      </c>
    </row>
    <row r="31" spans="1:7" x14ac:dyDescent="0.25">
      <c r="A31" s="3">
        <v>100246</v>
      </c>
      <c r="B31" s="3" t="s">
        <v>35</v>
      </c>
      <c r="C31" s="3" t="s">
        <v>9</v>
      </c>
      <c r="D31" s="3" t="s">
        <v>40</v>
      </c>
      <c r="E31" s="4">
        <v>33</v>
      </c>
      <c r="F31" s="3">
        <v>9</v>
      </c>
      <c r="G31" s="4">
        <v>297</v>
      </c>
    </row>
  </sheetData>
  <mergeCells count="1">
    <mergeCell ref="I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F85E-994E-4617-9EC2-4DD15BA69AA3}">
  <dimension ref="A1:E6"/>
  <sheetViews>
    <sheetView workbookViewId="0">
      <selection activeCell="C19" sqref="C19"/>
    </sheetView>
  </sheetViews>
  <sheetFormatPr defaultRowHeight="15" x14ac:dyDescent="0.25"/>
  <cols>
    <col min="1" max="1" width="15.42578125" customWidth="1"/>
    <col min="2" max="2" width="24.28515625" customWidth="1"/>
    <col min="3" max="3" width="23.5703125" customWidth="1"/>
    <col min="4" max="4" width="33.140625" customWidth="1"/>
    <col min="5" max="5" width="2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951</v>
      </c>
      <c r="B2" s="1" t="s">
        <v>5</v>
      </c>
      <c r="C2" s="1" t="s">
        <v>10</v>
      </c>
      <c r="D2" s="2" t="s">
        <v>15</v>
      </c>
      <c r="E2" s="1" t="s">
        <v>20</v>
      </c>
    </row>
    <row r="3" spans="1:5" x14ac:dyDescent="0.25">
      <c r="A3" s="1">
        <v>654</v>
      </c>
      <c r="B3" s="1" t="s">
        <v>6</v>
      </c>
      <c r="C3" s="1" t="s">
        <v>11</v>
      </c>
      <c r="D3" s="2" t="s">
        <v>17</v>
      </c>
      <c r="E3" s="1" t="s">
        <v>21</v>
      </c>
    </row>
    <row r="4" spans="1:5" x14ac:dyDescent="0.25">
      <c r="A4" s="1">
        <v>845</v>
      </c>
      <c r="B4" s="1" t="s">
        <v>7</v>
      </c>
      <c r="C4" s="1" t="s">
        <v>12</v>
      </c>
      <c r="D4" s="2" t="s">
        <v>18</v>
      </c>
      <c r="E4" s="1" t="s">
        <v>22</v>
      </c>
    </row>
    <row r="5" spans="1:5" x14ac:dyDescent="0.25">
      <c r="A5" s="1">
        <v>554</v>
      </c>
      <c r="B5" s="1" t="s">
        <v>8</v>
      </c>
      <c r="C5" s="1" t="s">
        <v>13</v>
      </c>
      <c r="D5" s="2" t="s">
        <v>16</v>
      </c>
      <c r="E5" s="1" t="s">
        <v>23</v>
      </c>
    </row>
    <row r="6" spans="1:5" x14ac:dyDescent="0.25">
      <c r="A6" s="1">
        <v>221</v>
      </c>
      <c r="B6" s="1" t="s">
        <v>9</v>
      </c>
      <c r="C6" s="1" t="s">
        <v>14</v>
      </c>
      <c r="D6" s="2" t="s">
        <v>19</v>
      </c>
      <c r="E6" s="1" t="s">
        <v>24</v>
      </c>
    </row>
  </sheetData>
  <hyperlinks>
    <hyperlink ref="D2" r:id="rId1" xr:uid="{91E88D55-291C-41C6-A6C2-A1FEEC3766C5}"/>
    <hyperlink ref="D3" r:id="rId2" xr:uid="{70C99A78-3F2D-43D7-9503-9CD2219CCC14}"/>
    <hyperlink ref="D4" r:id="rId3" xr:uid="{E25A019E-7054-45DE-AE16-0E466DDF7F80}"/>
    <hyperlink ref="D5" r:id="rId4" xr:uid="{4200649E-46C9-4395-9D8B-8AEE63664A6D}"/>
    <hyperlink ref="D6" r:id="rId5" xr:uid="{BD535470-DD2B-4C2E-86D6-35AE9D0A42A4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D62-796A-44FA-8DF9-3104418CA298}">
  <dimension ref="A3:C20"/>
  <sheetViews>
    <sheetView workbookViewId="0">
      <selection activeCell="D20" sqref="D20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7.85546875" bestFit="1" customWidth="1"/>
  </cols>
  <sheetData>
    <row r="3" spans="1:3" x14ac:dyDescent="0.25">
      <c r="A3" s="12" t="s">
        <v>46</v>
      </c>
      <c r="B3" t="s">
        <v>48</v>
      </c>
      <c r="C3" t="s">
        <v>49</v>
      </c>
    </row>
    <row r="4" spans="1:3" x14ac:dyDescent="0.25">
      <c r="A4" s="3" t="s">
        <v>36</v>
      </c>
      <c r="B4">
        <v>7</v>
      </c>
      <c r="C4" s="14">
        <v>2816</v>
      </c>
    </row>
    <row r="5" spans="1:3" x14ac:dyDescent="0.25">
      <c r="A5" s="13" t="s">
        <v>38</v>
      </c>
      <c r="B5">
        <v>3</v>
      </c>
      <c r="C5" s="14">
        <v>1020</v>
      </c>
    </row>
    <row r="6" spans="1:3" x14ac:dyDescent="0.25">
      <c r="A6" s="13" t="s">
        <v>50</v>
      </c>
      <c r="B6">
        <v>2</v>
      </c>
      <c r="C6" s="14">
        <v>996</v>
      </c>
    </row>
    <row r="7" spans="1:3" x14ac:dyDescent="0.25">
      <c r="A7" s="13" t="s">
        <v>51</v>
      </c>
      <c r="B7">
        <v>1</v>
      </c>
      <c r="C7" s="14">
        <v>500</v>
      </c>
    </row>
    <row r="8" spans="1:3" x14ac:dyDescent="0.25">
      <c r="A8" s="13" t="s">
        <v>9</v>
      </c>
      <c r="B8">
        <v>1</v>
      </c>
      <c r="C8" s="14">
        <v>300</v>
      </c>
    </row>
    <row r="9" spans="1:3" x14ac:dyDescent="0.25">
      <c r="A9" s="3" t="s">
        <v>34</v>
      </c>
      <c r="B9">
        <v>8</v>
      </c>
      <c r="C9" s="14">
        <v>1838.75</v>
      </c>
    </row>
    <row r="10" spans="1:3" x14ac:dyDescent="0.25">
      <c r="A10" s="13" t="s">
        <v>38</v>
      </c>
      <c r="B10">
        <v>4</v>
      </c>
      <c r="C10" s="14">
        <v>906.75</v>
      </c>
    </row>
    <row r="11" spans="1:3" x14ac:dyDescent="0.25">
      <c r="A11" s="13" t="s">
        <v>50</v>
      </c>
      <c r="B11">
        <v>3</v>
      </c>
      <c r="C11" s="14">
        <v>792</v>
      </c>
    </row>
    <row r="12" spans="1:3" x14ac:dyDescent="0.25">
      <c r="A12" s="13" t="s">
        <v>9</v>
      </c>
      <c r="B12">
        <v>1</v>
      </c>
      <c r="C12" s="14">
        <v>140</v>
      </c>
    </row>
    <row r="13" spans="1:3" x14ac:dyDescent="0.25">
      <c r="A13" s="3" t="s">
        <v>37</v>
      </c>
      <c r="B13">
        <v>6</v>
      </c>
      <c r="C13" s="14">
        <v>707.5</v>
      </c>
    </row>
    <row r="14" spans="1:3" x14ac:dyDescent="0.25">
      <c r="A14" s="13" t="s">
        <v>38</v>
      </c>
      <c r="B14">
        <v>5</v>
      </c>
      <c r="C14" s="14">
        <v>570</v>
      </c>
    </row>
    <row r="15" spans="1:3" x14ac:dyDescent="0.25">
      <c r="A15" s="13" t="s">
        <v>51</v>
      </c>
      <c r="B15">
        <v>1</v>
      </c>
      <c r="C15" s="14">
        <v>137.5</v>
      </c>
    </row>
    <row r="16" spans="1:3" x14ac:dyDescent="0.25">
      <c r="A16" s="3" t="s">
        <v>35</v>
      </c>
      <c r="B16">
        <v>7</v>
      </c>
      <c r="C16" s="14">
        <v>1961.5</v>
      </c>
    </row>
    <row r="17" spans="1:3" x14ac:dyDescent="0.25">
      <c r="A17" s="13" t="s">
        <v>38</v>
      </c>
      <c r="B17">
        <v>4</v>
      </c>
      <c r="C17" s="14">
        <v>1139.5</v>
      </c>
    </row>
    <row r="18" spans="1:3" x14ac:dyDescent="0.25">
      <c r="A18" s="13" t="s">
        <v>51</v>
      </c>
      <c r="B18">
        <v>1</v>
      </c>
      <c r="C18" s="14">
        <v>240</v>
      </c>
    </row>
    <row r="19" spans="1:3" x14ac:dyDescent="0.25">
      <c r="A19" s="13" t="s">
        <v>9</v>
      </c>
      <c r="B19">
        <v>2</v>
      </c>
      <c r="C19" s="14">
        <v>582</v>
      </c>
    </row>
    <row r="20" spans="1:3" x14ac:dyDescent="0.25">
      <c r="A20" s="3" t="s">
        <v>47</v>
      </c>
      <c r="B20">
        <v>28</v>
      </c>
      <c r="C20" s="14">
        <v>7323.75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Suppliers</vt:lpstr>
      <vt:lpstr>Purchase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Teacher Sergio</cp:lastModifiedBy>
  <dcterms:created xsi:type="dcterms:W3CDTF">2026-02-01T02:52:00Z</dcterms:created>
  <dcterms:modified xsi:type="dcterms:W3CDTF">2026-02-10T02:02:41Z</dcterms:modified>
</cp:coreProperties>
</file>