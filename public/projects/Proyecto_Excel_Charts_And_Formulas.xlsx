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 Irvin Pineda\Desktop\5 PROYECTOS\Excel-Simulator\projects\"/>
    </mc:Choice>
  </mc:AlternateContent>
  <xr:revisionPtr revIDLastSave="0" documentId="13_ncr:1_{C778E62F-1E25-44AD-A802-ACFBFC06004D}" xr6:coauthVersionLast="47" xr6:coauthVersionMax="47" xr10:uidLastSave="{00000000-0000-0000-0000-000000000000}"/>
  <bookViews>
    <workbookView xWindow="-120" yWindow="-120" windowWidth="20730" windowHeight="11040" xr2:uid="{0673A275-15CB-4FF9-8ED4-EFA5F0205FB9}"/>
  </bookViews>
  <sheets>
    <sheet name="Regiones" sheetId="1" r:id="rId1"/>
    <sheet name="Bicicletas" sheetId="2" r:id="rId2"/>
    <sheet name="Zonas" sheetId="3" r:id="rId3"/>
    <sheet name="Resultados" sheetId="4" r:id="rId4"/>
    <sheet name="Tratamientos" sheetId="5" r:id="rId5"/>
    <sheet name="Exportac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</calcChain>
</file>

<file path=xl/sharedStrings.xml><?xml version="1.0" encoding="utf-8"?>
<sst xmlns="http://schemas.openxmlformats.org/spreadsheetml/2006/main" count="296" uniqueCount="194">
  <si>
    <t>Region</t>
  </si>
  <si>
    <t>Producto</t>
  </si>
  <si>
    <t>Vendedor</t>
  </si>
  <si>
    <t>Sales</t>
  </si>
  <si>
    <t>Este</t>
  </si>
  <si>
    <t>Accesorios</t>
  </si>
  <si>
    <t>Ana</t>
  </si>
  <si>
    <t>Dispositivos</t>
  </si>
  <si>
    <t>Sistemas</t>
  </si>
  <si>
    <t>Central</t>
  </si>
  <si>
    <t>David</t>
  </si>
  <si>
    <t>Karen</t>
  </si>
  <si>
    <t>Oeste</t>
  </si>
  <si>
    <t>Kevin</t>
  </si>
  <si>
    <t>Lucas</t>
  </si>
  <si>
    <t>Sara</t>
  </si>
  <si>
    <t>Bicicletas Adventures MD</t>
  </si>
  <si>
    <t>Piezas pendientes</t>
  </si>
  <si>
    <t>Orden</t>
  </si>
  <si>
    <t>Numero de pieza</t>
  </si>
  <si>
    <t>Cantidad</t>
  </si>
  <si>
    <t>Fecha de orden</t>
  </si>
  <si>
    <t>Fecha de vencimiento</t>
  </si>
  <si>
    <t>HS-350</t>
  </si>
  <si>
    <t>HR-B66</t>
  </si>
  <si>
    <t>HS-351</t>
  </si>
  <si>
    <t>HR-B67</t>
  </si>
  <si>
    <t>HS-352</t>
  </si>
  <si>
    <t>HR-B68</t>
  </si>
  <si>
    <t>HS-353</t>
  </si>
  <si>
    <t>HR-B69</t>
  </si>
  <si>
    <t>HS-354</t>
  </si>
  <si>
    <t>HR-B70</t>
  </si>
  <si>
    <t>HS-355</t>
  </si>
  <si>
    <t>HR-B71</t>
  </si>
  <si>
    <t>HS-356</t>
  </si>
  <si>
    <t>HR-B72</t>
  </si>
  <si>
    <t>HS-357</t>
  </si>
  <si>
    <t>HR-B73</t>
  </si>
  <si>
    <t>HS-358</t>
  </si>
  <si>
    <t>HR-B74</t>
  </si>
  <si>
    <t>Director</t>
  </si>
  <si>
    <t>Especialidad</t>
  </si>
  <si>
    <t>Costo unitario</t>
  </si>
  <si>
    <t>Production Units</t>
  </si>
  <si>
    <t>Maximum Units</t>
  </si>
  <si>
    <t>México</t>
  </si>
  <si>
    <t>Rodolfo Castro</t>
  </si>
  <si>
    <t>Perfilado</t>
  </si>
  <si>
    <t>El Salvador</t>
  </si>
  <si>
    <t>Diego Cazares</t>
  </si>
  <si>
    <t>Cromado</t>
  </si>
  <si>
    <t>Nicaragua</t>
  </si>
  <si>
    <t>Lucia Zeledon</t>
  </si>
  <si>
    <t>Pintura</t>
  </si>
  <si>
    <t>Costa Rica</t>
  </si>
  <si>
    <t>Mike Matamoros</t>
  </si>
  <si>
    <t>Pintura especial</t>
  </si>
  <si>
    <t>Colombia</t>
  </si>
  <si>
    <t>Angie Gil Hurtado</t>
  </si>
  <si>
    <t>Ensamblaje</t>
  </si>
  <si>
    <t>Peru</t>
  </si>
  <si>
    <t>Miguel Seminario</t>
  </si>
  <si>
    <t>Subensamblaje</t>
  </si>
  <si>
    <t>Venezuela</t>
  </si>
  <si>
    <t>Ernesto Landa</t>
  </si>
  <si>
    <t>Ensamblaje final</t>
  </si>
  <si>
    <t>Exam Result</t>
  </si>
  <si>
    <t>Nombre</t>
  </si>
  <si>
    <t>Seccion</t>
  </si>
  <si>
    <t>Exam 1</t>
  </si>
  <si>
    <t>Exam 2</t>
  </si>
  <si>
    <t>Exam 3</t>
  </si>
  <si>
    <t>Exam 4</t>
  </si>
  <si>
    <t>Best Result</t>
  </si>
  <si>
    <t>Nina Sunset</t>
  </si>
  <si>
    <t>A</t>
  </si>
  <si>
    <t>Sou Min</t>
  </si>
  <si>
    <t>B</t>
  </si>
  <si>
    <t>Humberto Acevedo</t>
  </si>
  <si>
    <t>Victor Castro</t>
  </si>
  <si>
    <t>Gustavo Chong</t>
  </si>
  <si>
    <t>Ken Sutton</t>
  </si>
  <si>
    <t>Garcìa Molina</t>
  </si>
  <si>
    <t>Aspe Andreu</t>
  </si>
  <si>
    <t>Ching Vhu Ling</t>
  </si>
  <si>
    <t>Monopoly</t>
  </si>
  <si>
    <t>Pac mhan</t>
  </si>
  <si>
    <t>Perez Rodesno</t>
  </si>
  <si>
    <t>Mario Li</t>
  </si>
  <si>
    <t>Blandino Nerios</t>
  </si>
  <si>
    <t>Min Young</t>
  </si>
  <si>
    <t>Min Suite</t>
  </si>
  <si>
    <t>John Smits</t>
  </si>
  <si>
    <t>Jay Adams</t>
  </si>
  <si>
    <t>Gim Burton</t>
  </si>
  <si>
    <t>Buter Joseph</t>
  </si>
  <si>
    <t>Keny Loggins</t>
  </si>
  <si>
    <t>Walter CL</t>
  </si>
  <si>
    <t>CLIENTE</t>
  </si>
  <si>
    <t>CÓDIGO TRATAMIENTO</t>
  </si>
  <si>
    <t>TRATAMIENTO</t>
  </si>
  <si>
    <t>PRECIO</t>
  </si>
  <si>
    <t>DISCOUNT</t>
  </si>
  <si>
    <t>TOTAL COBRADO</t>
  </si>
  <si>
    <t>B-18</t>
  </si>
  <si>
    <t>SV011601</t>
  </si>
  <si>
    <t>Cacahua</t>
  </si>
  <si>
    <t>Total con Descuento SI</t>
  </si>
  <si>
    <t>A-19</t>
  </si>
  <si>
    <t>SV012601</t>
  </si>
  <si>
    <t>B-11</t>
  </si>
  <si>
    <t>SV008201</t>
  </si>
  <si>
    <t>Chocoterapia</t>
  </si>
  <si>
    <t>YES</t>
  </si>
  <si>
    <t>D-15</t>
  </si>
  <si>
    <t>SV010901</t>
  </si>
  <si>
    <t>A-12</t>
  </si>
  <si>
    <t>SV020401</t>
  </si>
  <si>
    <t>A-14</t>
  </si>
  <si>
    <t>SV002901</t>
  </si>
  <si>
    <t>Con Tequila</t>
  </si>
  <si>
    <t>D-13</t>
  </si>
  <si>
    <t>SV006801</t>
  </si>
  <si>
    <t>Envolvente De Aguacate Con Yogurt</t>
  </si>
  <si>
    <t>A-18</t>
  </si>
  <si>
    <t>SV010101</t>
  </si>
  <si>
    <t>Envolvente Desintoxicante</t>
  </si>
  <si>
    <t>D-20</t>
  </si>
  <si>
    <t>SV017401</t>
  </si>
  <si>
    <t>B-14</t>
  </si>
  <si>
    <t>SV006301</t>
  </si>
  <si>
    <t>Heavenly Body</t>
  </si>
  <si>
    <t>B-10</t>
  </si>
  <si>
    <t>SV004101</t>
  </si>
  <si>
    <t>Hieloterapia</t>
  </si>
  <si>
    <t>D-11</t>
  </si>
  <si>
    <t>SV005701</t>
  </si>
  <si>
    <t>Hipertermia</t>
  </si>
  <si>
    <t>A-11</t>
  </si>
  <si>
    <t>SV007601</t>
  </si>
  <si>
    <t>A-20</t>
  </si>
  <si>
    <t>SV008001</t>
  </si>
  <si>
    <t>D-10</t>
  </si>
  <si>
    <t>SV012201</t>
  </si>
  <si>
    <t>SV016701</t>
  </si>
  <si>
    <t>Modelaje</t>
  </si>
  <si>
    <t>D-12</t>
  </si>
  <si>
    <t>SV020101</t>
  </si>
  <si>
    <t>SV020501</t>
  </si>
  <si>
    <t>SV009801</t>
  </si>
  <si>
    <t>Relajante (No Recuerda Bien El Nombre)</t>
  </si>
  <si>
    <t>C-16</t>
  </si>
  <si>
    <t>SV017101</t>
  </si>
  <si>
    <t>B-19</t>
  </si>
  <si>
    <t>SV005901</t>
  </si>
  <si>
    <t>Ritual Azul Turquesa</t>
  </si>
  <si>
    <t>D-14</t>
  </si>
  <si>
    <t>SV016501</t>
  </si>
  <si>
    <t>SV010301</t>
  </si>
  <si>
    <t>Ritual Esencial Del Mar</t>
  </si>
  <si>
    <t>A-15</t>
  </si>
  <si>
    <t>SV016601</t>
  </si>
  <si>
    <t>Velo De Novia (Exfoliacion Corporal)</t>
  </si>
  <si>
    <t>B-17</t>
  </si>
  <si>
    <t>SV008301</t>
  </si>
  <si>
    <t>B-16</t>
  </si>
  <si>
    <t>SV015701</t>
  </si>
  <si>
    <t>B-15</t>
  </si>
  <si>
    <t>SV015601</t>
  </si>
  <si>
    <t>De Algas Desintoxicantes</t>
  </si>
  <si>
    <t>SV015801</t>
  </si>
  <si>
    <t>D-18</t>
  </si>
  <si>
    <t>SV007401</t>
  </si>
  <si>
    <t>D-17</t>
  </si>
  <si>
    <t>SV009001</t>
  </si>
  <si>
    <t>Exportación MD Contoso</t>
  </si>
  <si>
    <t>Precio</t>
  </si>
  <si>
    <t>Cerveza Northwind Traders</t>
  </si>
  <si>
    <t>Ciruelas pasas Northwind Traders</t>
  </si>
  <si>
    <t>Peras secas Northwind Traders</t>
  </si>
  <si>
    <t>Manzanas secas Northwind Traders</t>
  </si>
  <si>
    <t>Té Chai Northwind Traders</t>
  </si>
  <si>
    <t>Café Northwind Traders</t>
  </si>
  <si>
    <t>Galletas de chocolate surtidas Northwind Traders</t>
  </si>
  <si>
    <t>Chocolate Northwind Traders</t>
  </si>
  <si>
    <t>Sopa de almejas Northwind Traders</t>
  </si>
  <si>
    <t>Salsa curry Northwind Traders</t>
  </si>
  <si>
    <t>Té verde Northwind Traders</t>
  </si>
  <si>
    <t>Mermelada de moras y frambuesas Northwind Traders</t>
  </si>
  <si>
    <t>Condimentos de Louisiana Northwind Traders</t>
  </si>
  <si>
    <t>Carne de cangrejo Northwind Traders</t>
  </si>
  <si>
    <t>Ravioli Northwind Traders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</si>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</sst>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1" fillId="6" borderId="0" applyNumberFormat="0" applyBorder="0" applyAlignment="0" applyProtection="0"/>
  </cellStyleXfs>
  <cellXfs count="37">
    <xf numFmtId="0" fontId="0" fillId="0" borderId="0" xfId="0"/>
    <xf numFmtId="0" fontId="4" fillId="0" borderId="4" xfId="4" applyBorder="1" applyAlignment="1">
      <alignment horizontal="center" vertical="center"/>
    </xf>
    <xf numFmtId="0" fontId="4" fillId="0" borderId="5" xfId="4" applyBorder="1" applyAlignment="1">
      <alignment horizontal="center" vertical="center"/>
    </xf>
    <xf numFmtId="0" fontId="4" fillId="0" borderId="6" xfId="4" applyBorder="1" applyAlignment="1">
      <alignment horizontal="center" vertical="center"/>
    </xf>
    <xf numFmtId="0" fontId="0" fillId="2" borderId="0" xfId="0" applyFill="1"/>
    <xf numFmtId="0" fontId="0" fillId="0" borderId="7" xfId="0" applyBorder="1"/>
    <xf numFmtId="0" fontId="0" fillId="0" borderId="7" xfId="0" applyBorder="1" applyAlignment="1">
      <alignment horizontal="left" indent="1"/>
    </xf>
    <xf numFmtId="14" fontId="0" fillId="0" borderId="7" xfId="0" applyNumberFormat="1" applyBorder="1"/>
    <xf numFmtId="0" fontId="0" fillId="0" borderId="8" xfId="0" applyBorder="1"/>
    <xf numFmtId="0" fontId="0" fillId="0" borderId="8" xfId="0" applyBorder="1" applyAlignment="1">
      <alignment horizontal="left" indent="1"/>
    </xf>
    <xf numFmtId="14" fontId="0" fillId="0" borderId="8" xfId="0" applyNumberFormat="1" applyBorder="1"/>
    <xf numFmtId="0" fontId="2" fillId="0" borderId="0" xfId="2" applyBorder="1"/>
    <xf numFmtId="164" fontId="0" fillId="0" borderId="8" xfId="0" applyNumberFormat="1" applyBorder="1"/>
    <xf numFmtId="0" fontId="5" fillId="3" borderId="0" xfId="0" applyFont="1" applyFill="1" applyAlignment="1">
      <alignment horizontal="center" vertical="center"/>
    </xf>
    <xf numFmtId="0" fontId="5" fillId="4" borderId="9" xfId="0" applyFont="1" applyFill="1" applyBorder="1"/>
    <xf numFmtId="0" fontId="5" fillId="4" borderId="10" xfId="0" applyFont="1" applyFill="1" applyBorder="1"/>
    <xf numFmtId="0" fontId="0" fillId="0" borderId="11" xfId="0" applyBorder="1" applyAlignment="1">
      <alignment horizontal="center"/>
    </xf>
    <xf numFmtId="0" fontId="0" fillId="0" borderId="11" xfId="0" applyBorder="1"/>
    <xf numFmtId="44" fontId="0" fillId="0" borderId="11" xfId="1" applyFont="1" applyBorder="1"/>
    <xf numFmtId="44" fontId="6" fillId="0" borderId="12" xfId="1" applyFont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44" fontId="0" fillId="0" borderId="11" xfId="1" applyFont="1" applyBorder="1" applyAlignment="1">
      <alignment vertical="center"/>
    </xf>
    <xf numFmtId="44" fontId="6" fillId="0" borderId="12" xfId="1" applyFont="1" applyBorder="1" applyAlignment="1">
      <alignment vertical="center"/>
    </xf>
    <xf numFmtId="0" fontId="6" fillId="6" borderId="16" xfId="5" applyFont="1" applyBorder="1" applyAlignment="1">
      <alignment horizontal="center" vertical="center"/>
    </xf>
    <xf numFmtId="0" fontId="6" fillId="6" borderId="9" xfId="5" applyFont="1" applyBorder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8" xfId="3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5" borderId="1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9" fillId="7" borderId="8" xfId="0" applyFont="1" applyFill="1" applyBorder="1" applyAlignment="1">
      <alignment horizontal="center" vertical="center"/>
    </xf>
  </cellXfs>
  <cellStyles count="6">
    <cellStyle name="60% - Accent6" xfId="5" builtinId="52"/>
    <cellStyle name="Currency" xfId="1" builtinId="4"/>
    <cellStyle name="Heading 2" xfId="2" builtinId="17"/>
    <cellStyle name="Heading 3" xfId="3" builtinId="18"/>
    <cellStyle name="Linked Cell" xfId="4" builtinId="24"/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AB5C32D6-AEAE-41EB-B00E-D095251029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885825</xdr:colOff>
      <xdr:row>0</xdr:row>
      <xdr:rowOff>42627</xdr:rowOff>
    </xdr:from>
    <xdr:to>
      <xdr:col>4</xdr:col>
      <xdr:colOff>495300</xdr:colOff>
      <xdr:row>1</xdr:row>
      <xdr:rowOff>123824</xdr:rowOff>
    </xdr:to>
    <xdr:pic>
      <xdr:nvPicPr>
        <xdr:cNvPr id="2" name="Gráfico 2" descr="Ciclismo con relleno sólido">
          <a:extLst>
            <a:ext uri="{FF2B5EF4-FFF2-40B4-BE49-F238E27FC236}">
              <a16:creationId xmlns:a16="http://schemas.microsoft.com/office/drawing/2014/main" id="{03BAE753-6EB3-44E7-905B-841E4EDEA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67100" y="42627"/>
          <a:ext cx="571500" cy="2716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885825</xdr:colOff>
      <xdr:row>0</xdr:row>
      <xdr:rowOff>42627</xdr:rowOff>
    </xdr:from>
    <xdr:to>
      <xdr:col>4</xdr:col>
      <xdr:colOff>428625</xdr:colOff>
      <xdr:row>1</xdr:row>
      <xdr:rowOff>171449</xdr:rowOff>
    </xdr:to>
    <xdr:pic>
      <xdr:nvPicPr>
        <xdr:cNvPr id="2" name="Gráfico 1" descr="Ciclismo con relleno sólido">
          <a:extLst>
            <a:ext uri="{FF2B5EF4-FFF2-40B4-BE49-F238E27FC236}">
              <a16:creationId xmlns:a16="http://schemas.microsoft.com/office/drawing/2014/main" id="{324E9003-B10B-4BEE-B2F8-5E9FF77DC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0475" y="42627"/>
          <a:ext cx="571500" cy="3193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3124199</xdr:colOff>
      <xdr:row>0</xdr:row>
      <xdr:rowOff>0</xdr:rowOff>
    </xdr:from>
    <xdr:to>
      <xdr:col>1</xdr:col>
      <xdr:colOff>285749</xdr:colOff>
      <xdr:row>2</xdr:row>
      <xdr:rowOff>104775</xdr:rowOff>
    </xdr:to>
    <xdr:pic>
      <xdr:nvPicPr>
        <xdr:cNvPr id="2" name="Gráfico 2" descr="Globo terráqueo: América con relleno sólido">
          <a:extLst>
            <a:ext uri="{FF2B5EF4-FFF2-40B4-BE49-F238E27FC236}">
              <a16:creationId xmlns:a16="http://schemas.microsoft.com/office/drawing/2014/main" id="{D3C63890-F951-4D07-A478-F08EE87D0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24199" y="0"/>
          <a:ext cx="485775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565210-ABB7-466B-99AB-E31EF2929077}" name="Tabla1" displayName="Tabla1" ref="A1:D19" totalsRowShown="0">
  <autoFilter ref="A1:D19" xr:uid="{BC565210-ABB7-466B-99AB-E31EF2929077}"/>
  <sortState xmlns:xlrd2="http://schemas.microsoft.com/office/spreadsheetml/2017/richdata2" ref="A2:D19">
    <sortCondition ref="C1:C19"/>
  </sortState>
  <tableColumns count="4">
    <tableColumn id="1" xr3:uid="{69DCA7CE-D0E3-4957-AD42-370E220B7FDD}" name="Region"/>
    <tableColumn id="2" xr3:uid="{F3BB573A-7858-402F-91A0-D65F042895C1}" name="Producto"/>
    <tableColumn id="3" xr3:uid="{31064D7C-82EC-4CD6-A1F1-AC0D55C0C4EE}" name="Vendedor"/>
    <tableColumn id="4" xr3:uid="{D9FACE60-5B86-4452-9F57-8726F5CEB5DF}" name="Sales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277A-1C5B-49B0-BF67-167EBC86095A}">
  <dimension ref="A1:D19"/>
  <sheetViews>
    <sheetView tabSelected="1" workbookViewId="0">
      <selection activeCell="H8" sqref="H8"/>
    </sheetView>
  </sheetViews>
  <sheetFormatPr defaultColWidth="11.42578125" defaultRowHeight="15" x14ac:dyDescent="0.25"/>
  <cols>
    <col min="3" max="3" width="11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10000</v>
      </c>
    </row>
    <row r="3" spans="1:4" x14ac:dyDescent="0.25">
      <c r="A3" t="s">
        <v>4</v>
      </c>
      <c r="B3" t="s">
        <v>7</v>
      </c>
      <c r="C3" t="s">
        <v>6</v>
      </c>
      <c r="D3">
        <v>10348</v>
      </c>
    </row>
    <row r="4" spans="1:4" x14ac:dyDescent="0.25">
      <c r="A4" t="s">
        <v>4</v>
      </c>
      <c r="B4" t="s">
        <v>8</v>
      </c>
      <c r="C4" t="s">
        <v>6</v>
      </c>
      <c r="D4">
        <v>13531</v>
      </c>
    </row>
    <row r="5" spans="1:4" x14ac:dyDescent="0.25">
      <c r="A5" t="s">
        <v>9</v>
      </c>
      <c r="B5" t="s">
        <v>5</v>
      </c>
      <c r="C5" t="s">
        <v>10</v>
      </c>
      <c r="D5">
        <v>18274</v>
      </c>
    </row>
    <row r="6" spans="1:4" x14ac:dyDescent="0.25">
      <c r="A6" t="s">
        <v>9</v>
      </c>
      <c r="B6" t="s">
        <v>7</v>
      </c>
      <c r="C6" t="s">
        <v>10</v>
      </c>
      <c r="D6">
        <v>11420</v>
      </c>
    </row>
    <row r="7" spans="1:4" x14ac:dyDescent="0.25">
      <c r="A7" t="s">
        <v>9</v>
      </c>
      <c r="B7" t="s">
        <v>8</v>
      </c>
      <c r="C7" t="s">
        <v>10</v>
      </c>
      <c r="D7">
        <v>20098</v>
      </c>
    </row>
    <row r="8" spans="1:4" x14ac:dyDescent="0.25">
      <c r="A8" t="s">
        <v>9</v>
      </c>
      <c r="B8" t="s">
        <v>5</v>
      </c>
      <c r="C8" t="s">
        <v>11</v>
      </c>
      <c r="D8">
        <v>16900</v>
      </c>
    </row>
    <row r="9" spans="1:4" x14ac:dyDescent="0.25">
      <c r="A9" t="s">
        <v>9</v>
      </c>
      <c r="B9" t="s">
        <v>7</v>
      </c>
      <c r="C9" t="s">
        <v>11</v>
      </c>
      <c r="D9">
        <v>12948</v>
      </c>
    </row>
    <row r="10" spans="1:4" x14ac:dyDescent="0.25">
      <c r="A10" t="s">
        <v>9</v>
      </c>
      <c r="B10" t="s">
        <v>8</v>
      </c>
      <c r="C10" t="s">
        <v>11</v>
      </c>
      <c r="D10">
        <v>30633</v>
      </c>
    </row>
    <row r="11" spans="1:4" x14ac:dyDescent="0.25">
      <c r="A11" t="s">
        <v>12</v>
      </c>
      <c r="B11" t="s">
        <v>5</v>
      </c>
      <c r="C11" t="s">
        <v>13</v>
      </c>
      <c r="D11">
        <v>14777</v>
      </c>
    </row>
    <row r="12" spans="1:4" x14ac:dyDescent="0.25">
      <c r="A12" t="s">
        <v>12</v>
      </c>
      <c r="B12" t="s">
        <v>7</v>
      </c>
      <c r="C12" t="s">
        <v>13</v>
      </c>
      <c r="D12">
        <v>10711</v>
      </c>
    </row>
    <row r="13" spans="1:4" x14ac:dyDescent="0.25">
      <c r="A13" t="s">
        <v>12</v>
      </c>
      <c r="B13" t="s">
        <v>8</v>
      </c>
      <c r="C13" t="s">
        <v>13</v>
      </c>
      <c r="D13">
        <v>32855</v>
      </c>
    </row>
    <row r="14" spans="1:4" x14ac:dyDescent="0.25">
      <c r="A14" t="s">
        <v>4</v>
      </c>
      <c r="B14" t="s">
        <v>5</v>
      </c>
      <c r="C14" t="s">
        <v>14</v>
      </c>
      <c r="D14">
        <v>17666</v>
      </c>
    </row>
    <row r="15" spans="1:4" x14ac:dyDescent="0.25">
      <c r="A15" t="s">
        <v>4</v>
      </c>
      <c r="B15" t="s">
        <v>7</v>
      </c>
      <c r="C15" t="s">
        <v>14</v>
      </c>
      <c r="D15">
        <v>19312</v>
      </c>
    </row>
    <row r="16" spans="1:4" x14ac:dyDescent="0.25">
      <c r="A16" t="s">
        <v>4</v>
      </c>
      <c r="B16" t="s">
        <v>8</v>
      </c>
      <c r="C16" t="s">
        <v>14</v>
      </c>
      <c r="D16">
        <v>13374</v>
      </c>
    </row>
    <row r="17" spans="1:4" x14ac:dyDescent="0.25">
      <c r="A17" t="s">
        <v>12</v>
      </c>
      <c r="B17" t="s">
        <v>5</v>
      </c>
      <c r="C17" t="s">
        <v>15</v>
      </c>
      <c r="D17">
        <v>15444</v>
      </c>
    </row>
    <row r="18" spans="1:4" x14ac:dyDescent="0.25">
      <c r="A18" t="s">
        <v>12</v>
      </c>
      <c r="B18" t="s">
        <v>7</v>
      </c>
      <c r="C18" t="s">
        <v>15</v>
      </c>
      <c r="D18">
        <v>18780</v>
      </c>
    </row>
    <row r="19" spans="1:4" x14ac:dyDescent="0.25">
      <c r="A19" t="s">
        <v>12</v>
      </c>
      <c r="B19" t="s">
        <v>8</v>
      </c>
      <c r="C19" t="s">
        <v>15</v>
      </c>
      <c r="D19">
        <v>23151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D291-8261-49E4-BEBD-EBB282C527E9}">
  <dimension ref="A1:G21"/>
  <sheetViews>
    <sheetView workbookViewId="0">
      <selection activeCell="E15" sqref="E15"/>
    </sheetView>
  </sheetViews>
  <sheetFormatPr defaultColWidth="11.42578125" defaultRowHeight="15" x14ac:dyDescent="0.25"/>
  <cols>
    <col min="2" max="2" width="15.85546875" bestFit="1" customWidth="1"/>
    <col min="4" max="4" width="14.42578125" bestFit="1" customWidth="1"/>
    <col min="5" max="5" width="20.140625" bestFit="1" customWidth="1"/>
    <col min="7" max="7" width="17" bestFit="1" customWidth="1"/>
  </cols>
  <sheetData>
    <row r="1" spans="1:7" ht="18.75" x14ac:dyDescent="0.25">
      <c r="A1" s="30" t="s">
        <v>16</v>
      </c>
      <c r="B1" s="30"/>
      <c r="C1" s="30"/>
      <c r="D1" s="30"/>
      <c r="E1" s="30"/>
    </row>
    <row r="2" spans="1:7" ht="15.75" thickBot="1" x14ac:dyDescent="0.3">
      <c r="G2" t="s">
        <v>17</v>
      </c>
    </row>
    <row r="3" spans="1:7" ht="15.75" thickBot="1" x14ac:dyDescent="0.3">
      <c r="A3" s="1" t="s">
        <v>18</v>
      </c>
      <c r="B3" s="2" t="s">
        <v>19</v>
      </c>
      <c r="C3" s="2" t="s">
        <v>20</v>
      </c>
      <c r="D3" s="2" t="s">
        <v>21</v>
      </c>
      <c r="E3" s="3" t="s">
        <v>22</v>
      </c>
      <c r="G3" s="4">
        <f>SUMIF(E4:E21,"&lt;",C4:C21)</f>
        <v>0</v>
      </c>
    </row>
    <row r="4" spans="1:7" x14ac:dyDescent="0.25">
      <c r="A4" s="5">
        <v>15000</v>
      </c>
      <c r="B4" s="6" t="s">
        <v>23</v>
      </c>
      <c r="C4" s="5">
        <v>4</v>
      </c>
      <c r="D4" s="7">
        <v>45302</v>
      </c>
      <c r="E4" s="7">
        <v>45316</v>
      </c>
    </row>
    <row r="5" spans="1:7" x14ac:dyDescent="0.25">
      <c r="A5" s="8">
        <v>15001</v>
      </c>
      <c r="B5" s="9" t="s">
        <v>24</v>
      </c>
      <c r="C5" s="8">
        <v>4</v>
      </c>
      <c r="D5" s="10">
        <v>45309</v>
      </c>
      <c r="E5" s="10">
        <v>45403</v>
      </c>
    </row>
    <row r="6" spans="1:7" x14ac:dyDescent="0.25">
      <c r="A6" s="8">
        <v>15002</v>
      </c>
      <c r="B6" s="9" t="s">
        <v>25</v>
      </c>
      <c r="C6" s="8">
        <v>4</v>
      </c>
      <c r="D6" s="10">
        <v>45333</v>
      </c>
      <c r="E6" s="10">
        <v>45402</v>
      </c>
    </row>
    <row r="7" spans="1:7" x14ac:dyDescent="0.25">
      <c r="A7" s="8">
        <v>15003</v>
      </c>
      <c r="B7" s="9" t="s">
        <v>26</v>
      </c>
      <c r="C7" s="8">
        <v>4</v>
      </c>
      <c r="D7" s="10">
        <v>45363</v>
      </c>
      <c r="E7" s="10">
        <v>45440</v>
      </c>
    </row>
    <row r="8" spans="1:7" x14ac:dyDescent="0.25">
      <c r="A8" s="8">
        <v>15004</v>
      </c>
      <c r="B8" s="9" t="s">
        <v>27</v>
      </c>
      <c r="C8" s="8">
        <v>4</v>
      </c>
      <c r="D8" s="10">
        <v>45353</v>
      </c>
      <c r="E8" s="10">
        <v>45406</v>
      </c>
    </row>
    <row r="9" spans="1:7" x14ac:dyDescent="0.25">
      <c r="A9" s="8">
        <v>15005</v>
      </c>
      <c r="B9" s="9" t="s">
        <v>28</v>
      </c>
      <c r="C9" s="8">
        <v>4</v>
      </c>
      <c r="D9" s="10">
        <v>45372</v>
      </c>
      <c r="E9" s="10">
        <v>45413</v>
      </c>
    </row>
    <row r="10" spans="1:7" x14ac:dyDescent="0.25">
      <c r="A10" s="8">
        <v>15006</v>
      </c>
      <c r="B10" s="9" t="s">
        <v>29</v>
      </c>
      <c r="C10" s="8">
        <v>4</v>
      </c>
      <c r="D10" s="10">
        <v>45366</v>
      </c>
      <c r="E10" s="10">
        <v>45466</v>
      </c>
    </row>
    <row r="11" spans="1:7" x14ac:dyDescent="0.25">
      <c r="A11" s="8">
        <v>15007</v>
      </c>
      <c r="B11" s="9" t="s">
        <v>30</v>
      </c>
      <c r="C11" s="8">
        <v>4</v>
      </c>
      <c r="D11" s="10">
        <v>45360</v>
      </c>
      <c r="E11" s="10">
        <v>45379</v>
      </c>
    </row>
    <row r="12" spans="1:7" x14ac:dyDescent="0.25">
      <c r="A12" s="8">
        <v>15008</v>
      </c>
      <c r="B12" s="9" t="s">
        <v>31</v>
      </c>
      <c r="C12" s="8">
        <v>40</v>
      </c>
      <c r="D12" s="10">
        <v>45388</v>
      </c>
      <c r="E12" s="10">
        <v>45417</v>
      </c>
    </row>
    <row r="13" spans="1:7" x14ac:dyDescent="0.25">
      <c r="A13" s="8">
        <v>15009</v>
      </c>
      <c r="B13" s="9" t="s">
        <v>32</v>
      </c>
      <c r="C13" s="8">
        <v>8</v>
      </c>
      <c r="D13" s="10">
        <v>45361</v>
      </c>
      <c r="E13" s="10">
        <v>45427</v>
      </c>
    </row>
    <row r="14" spans="1:7" x14ac:dyDescent="0.25">
      <c r="A14" s="8">
        <v>15010</v>
      </c>
      <c r="B14" s="9" t="s">
        <v>33</v>
      </c>
      <c r="C14" s="8">
        <v>4</v>
      </c>
      <c r="D14" s="10">
        <v>45385</v>
      </c>
      <c r="E14" s="10">
        <v>45454</v>
      </c>
    </row>
    <row r="15" spans="1:7" x14ac:dyDescent="0.25">
      <c r="A15" s="8">
        <v>15011</v>
      </c>
      <c r="B15" s="9" t="s">
        <v>34</v>
      </c>
      <c r="C15" s="8">
        <v>8</v>
      </c>
      <c r="D15" s="10">
        <v>45399</v>
      </c>
      <c r="E15" s="10">
        <v>45465</v>
      </c>
    </row>
    <row r="16" spans="1:7" x14ac:dyDescent="0.25">
      <c r="A16" s="8">
        <v>15012</v>
      </c>
      <c r="B16" s="9" t="s">
        <v>35</v>
      </c>
      <c r="C16" s="8">
        <v>4</v>
      </c>
      <c r="D16" s="10">
        <v>45353</v>
      </c>
      <c r="E16" s="10">
        <v>45359</v>
      </c>
    </row>
    <row r="17" spans="1:5" x14ac:dyDescent="0.25">
      <c r="A17" s="8">
        <v>15013</v>
      </c>
      <c r="B17" s="9" t="s">
        <v>36</v>
      </c>
      <c r="C17" s="8">
        <v>4</v>
      </c>
      <c r="D17" s="10">
        <v>45317</v>
      </c>
      <c r="E17" s="10">
        <v>45399</v>
      </c>
    </row>
    <row r="18" spans="1:5" x14ac:dyDescent="0.25">
      <c r="A18" s="8">
        <v>15014</v>
      </c>
      <c r="B18" s="9" t="s">
        <v>37</v>
      </c>
      <c r="C18" s="8">
        <v>8</v>
      </c>
      <c r="D18" s="10">
        <v>45335</v>
      </c>
      <c r="E18" s="10">
        <v>45405</v>
      </c>
    </row>
    <row r="19" spans="1:5" x14ac:dyDescent="0.25">
      <c r="A19" s="8">
        <v>15015</v>
      </c>
      <c r="B19" s="9" t="s">
        <v>38</v>
      </c>
      <c r="C19" s="8">
        <v>4</v>
      </c>
      <c r="D19" s="10">
        <v>45320</v>
      </c>
      <c r="E19" s="10">
        <v>45337</v>
      </c>
    </row>
    <row r="20" spans="1:5" x14ac:dyDescent="0.25">
      <c r="A20" s="8">
        <v>15016</v>
      </c>
      <c r="B20" s="9" t="s">
        <v>39</v>
      </c>
      <c r="C20" s="8">
        <v>16</v>
      </c>
      <c r="D20" s="10">
        <v>45328</v>
      </c>
      <c r="E20" s="10">
        <v>45400</v>
      </c>
    </row>
    <row r="21" spans="1:5" x14ac:dyDescent="0.25">
      <c r="A21" s="8">
        <v>15017</v>
      </c>
      <c r="B21" s="9" t="s">
        <v>40</v>
      </c>
      <c r="C21" s="8">
        <v>4</v>
      </c>
      <c r="D21" s="10">
        <v>45361</v>
      </c>
      <c r="E21" s="10">
        <v>45447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5F8E-90B2-4C95-83CA-8F9260B6FCDA}">
  <dimension ref="A1:F10"/>
  <sheetViews>
    <sheetView workbookViewId="0">
      <selection activeCell="D14" sqref="D14"/>
    </sheetView>
  </sheetViews>
  <sheetFormatPr defaultColWidth="11.42578125" defaultRowHeight="15" x14ac:dyDescent="0.25"/>
  <cols>
    <col min="2" max="2" width="16.42578125" bestFit="1" customWidth="1"/>
    <col min="3" max="3" width="15.85546875" bestFit="1" customWidth="1"/>
    <col min="4" max="4" width="15.42578125" bestFit="1" customWidth="1"/>
    <col min="5" max="5" width="22.85546875" bestFit="1" customWidth="1"/>
    <col min="6" max="6" width="22.140625" bestFit="1" customWidth="1"/>
  </cols>
  <sheetData>
    <row r="1" spans="1:6" ht="18.75" x14ac:dyDescent="0.25">
      <c r="A1" s="30" t="s">
        <v>16</v>
      </c>
      <c r="B1" s="30"/>
      <c r="C1" s="30"/>
      <c r="D1" s="30"/>
      <c r="E1" s="30"/>
    </row>
    <row r="3" spans="1:6" ht="17.25" x14ac:dyDescent="0.3">
      <c r="A3" s="11" t="s">
        <v>193</v>
      </c>
      <c r="B3" s="11" t="s">
        <v>41</v>
      </c>
      <c r="C3" s="11" t="s">
        <v>42</v>
      </c>
      <c r="D3" s="11" t="s">
        <v>43</v>
      </c>
      <c r="E3" s="11" t="s">
        <v>44</v>
      </c>
      <c r="F3" s="11" t="s">
        <v>45</v>
      </c>
    </row>
    <row r="4" spans="1:6" x14ac:dyDescent="0.25">
      <c r="A4" s="8" t="s">
        <v>46</v>
      </c>
      <c r="B4" s="8" t="s">
        <v>47</v>
      </c>
      <c r="C4" s="8" t="s">
        <v>48</v>
      </c>
      <c r="D4" s="12">
        <v>225</v>
      </c>
      <c r="E4" s="8">
        <v>50</v>
      </c>
      <c r="F4" s="8">
        <v>95</v>
      </c>
    </row>
    <row r="5" spans="1:6" x14ac:dyDescent="0.25">
      <c r="A5" s="8" t="s">
        <v>49</v>
      </c>
      <c r="B5" s="8" t="s">
        <v>50</v>
      </c>
      <c r="C5" s="8" t="s">
        <v>51</v>
      </c>
      <c r="D5" s="12">
        <v>250</v>
      </c>
      <c r="E5" s="8">
        <v>80</v>
      </c>
      <c r="F5" s="8">
        <v>108</v>
      </c>
    </row>
    <row r="6" spans="1:6" x14ac:dyDescent="0.25">
      <c r="A6" s="8" t="s">
        <v>52</v>
      </c>
      <c r="B6" s="8" t="s">
        <v>53</v>
      </c>
      <c r="C6" s="8" t="s">
        <v>54</v>
      </c>
      <c r="D6" s="12">
        <v>145</v>
      </c>
      <c r="E6" s="8">
        <v>100</v>
      </c>
      <c r="F6" s="8">
        <v>120</v>
      </c>
    </row>
    <row r="7" spans="1:6" x14ac:dyDescent="0.25">
      <c r="A7" s="8" t="s">
        <v>55</v>
      </c>
      <c r="B7" s="8" t="s">
        <v>56</v>
      </c>
      <c r="C7" s="8" t="s">
        <v>57</v>
      </c>
      <c r="D7" s="12">
        <v>150</v>
      </c>
      <c r="E7" s="8">
        <v>125</v>
      </c>
      <c r="F7" s="8">
        <v>120</v>
      </c>
    </row>
    <row r="8" spans="1:6" x14ac:dyDescent="0.25">
      <c r="A8" s="8" t="s">
        <v>58</v>
      </c>
      <c r="B8" s="8" t="s">
        <v>59</v>
      </c>
      <c r="C8" s="8" t="s">
        <v>60</v>
      </c>
      <c r="D8" s="12">
        <v>180</v>
      </c>
      <c r="E8" s="8">
        <v>65</v>
      </c>
      <c r="F8" s="8">
        <v>80</v>
      </c>
    </row>
    <row r="9" spans="1:6" x14ac:dyDescent="0.25">
      <c r="A9" s="8" t="s">
        <v>61</v>
      </c>
      <c r="B9" s="8" t="s">
        <v>62</v>
      </c>
      <c r="C9" s="8" t="s">
        <v>63</v>
      </c>
      <c r="D9" s="12">
        <v>120</v>
      </c>
      <c r="E9" s="8">
        <v>150</v>
      </c>
      <c r="F9" s="8">
        <v>120</v>
      </c>
    </row>
    <row r="10" spans="1:6" x14ac:dyDescent="0.25">
      <c r="A10" s="8" t="s">
        <v>64</v>
      </c>
      <c r="B10" s="8" t="s">
        <v>65</v>
      </c>
      <c r="C10" s="8" t="s">
        <v>66</v>
      </c>
      <c r="D10" s="12">
        <v>120</v>
      </c>
      <c r="E10" s="8">
        <v>200</v>
      </c>
      <c r="F10" s="8">
        <v>120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692EC-5802-48B2-86FD-5C4A3F94280E}">
  <dimension ref="A1:G25"/>
  <sheetViews>
    <sheetView workbookViewId="0">
      <selection activeCell="H20" sqref="H20"/>
    </sheetView>
  </sheetViews>
  <sheetFormatPr defaultColWidth="11.42578125" defaultRowHeight="15" x14ac:dyDescent="0.25"/>
  <cols>
    <col min="1" max="1" width="17.5703125" bestFit="1" customWidth="1"/>
    <col min="2" max="2" width="8.140625" bestFit="1" customWidth="1"/>
    <col min="3" max="6" width="7.28515625" bestFit="1" customWidth="1"/>
    <col min="7" max="7" width="11.28515625" bestFit="1" customWidth="1"/>
  </cols>
  <sheetData>
    <row r="1" spans="1:7" ht="21" x14ac:dyDescent="0.25">
      <c r="A1" s="31" t="s">
        <v>67</v>
      </c>
      <c r="B1" s="31"/>
      <c r="C1" s="31"/>
      <c r="D1" s="31"/>
      <c r="E1" s="31"/>
      <c r="F1" s="31"/>
      <c r="G1" s="31"/>
    </row>
    <row r="3" spans="1:7" x14ac:dyDescent="0.25">
      <c r="A3" s="13" t="s">
        <v>68</v>
      </c>
      <c r="B3" s="13" t="s">
        <v>69</v>
      </c>
      <c r="C3" s="13" t="s">
        <v>70</v>
      </c>
      <c r="D3" s="13" t="s">
        <v>71</v>
      </c>
      <c r="E3" s="13" t="s">
        <v>72</v>
      </c>
      <c r="F3" s="13" t="s">
        <v>73</v>
      </c>
      <c r="G3" s="13" t="s">
        <v>74</v>
      </c>
    </row>
    <row r="4" spans="1:7" x14ac:dyDescent="0.25">
      <c r="A4" t="s">
        <v>75</v>
      </c>
      <c r="B4" t="s">
        <v>76</v>
      </c>
      <c r="C4">
        <v>79</v>
      </c>
      <c r="D4">
        <v>46</v>
      </c>
      <c r="E4">
        <v>59</v>
      </c>
      <c r="F4">
        <v>72</v>
      </c>
      <c r="G4">
        <v>79</v>
      </c>
    </row>
    <row r="5" spans="1:7" x14ac:dyDescent="0.25">
      <c r="A5" t="s">
        <v>77</v>
      </c>
      <c r="B5" t="s">
        <v>78</v>
      </c>
      <c r="C5">
        <v>76</v>
      </c>
      <c r="D5">
        <v>86</v>
      </c>
      <c r="E5">
        <v>62</v>
      </c>
      <c r="F5">
        <v>69</v>
      </c>
      <c r="G5">
        <v>86</v>
      </c>
    </row>
    <row r="6" spans="1:7" x14ac:dyDescent="0.25">
      <c r="A6" t="s">
        <v>79</v>
      </c>
      <c r="B6" t="s">
        <v>78</v>
      </c>
      <c r="C6">
        <v>41</v>
      </c>
      <c r="D6">
        <v>74</v>
      </c>
      <c r="E6">
        <v>41</v>
      </c>
      <c r="F6">
        <v>84</v>
      </c>
      <c r="G6">
        <v>84</v>
      </c>
    </row>
    <row r="7" spans="1:7" x14ac:dyDescent="0.25">
      <c r="A7" t="s">
        <v>80</v>
      </c>
      <c r="B7" t="s">
        <v>78</v>
      </c>
      <c r="C7">
        <v>57</v>
      </c>
      <c r="D7">
        <v>85</v>
      </c>
      <c r="E7">
        <v>62</v>
      </c>
      <c r="F7">
        <v>63</v>
      </c>
      <c r="G7">
        <v>85</v>
      </c>
    </row>
    <row r="8" spans="1:7" x14ac:dyDescent="0.25">
      <c r="A8" t="s">
        <v>81</v>
      </c>
      <c r="B8" t="s">
        <v>78</v>
      </c>
      <c r="C8">
        <v>59</v>
      </c>
      <c r="D8">
        <v>62</v>
      </c>
      <c r="E8">
        <v>67</v>
      </c>
      <c r="F8">
        <v>81</v>
      </c>
      <c r="G8">
        <v>81</v>
      </c>
    </row>
    <row r="9" spans="1:7" x14ac:dyDescent="0.25">
      <c r="A9" t="s">
        <v>82</v>
      </c>
      <c r="B9" t="s">
        <v>76</v>
      </c>
      <c r="C9">
        <v>69</v>
      </c>
      <c r="D9">
        <v>57</v>
      </c>
      <c r="E9">
        <v>69</v>
      </c>
      <c r="F9">
        <v>88</v>
      </c>
      <c r="G9">
        <v>88</v>
      </c>
    </row>
    <row r="10" spans="1:7" x14ac:dyDescent="0.25">
      <c r="A10" t="s">
        <v>83</v>
      </c>
      <c r="B10" t="s">
        <v>78</v>
      </c>
      <c r="C10">
        <v>91</v>
      </c>
      <c r="D10">
        <v>74</v>
      </c>
      <c r="E10">
        <v>84</v>
      </c>
      <c r="F10">
        <v>73</v>
      </c>
      <c r="G10">
        <v>91</v>
      </c>
    </row>
    <row r="11" spans="1:7" x14ac:dyDescent="0.25">
      <c r="A11" t="s">
        <v>84</v>
      </c>
      <c r="B11" t="s">
        <v>78</v>
      </c>
      <c r="C11">
        <v>61</v>
      </c>
      <c r="D11">
        <v>76</v>
      </c>
      <c r="E11">
        <v>69</v>
      </c>
      <c r="F11">
        <v>73</v>
      </c>
      <c r="G11">
        <v>73</v>
      </c>
    </row>
    <row r="12" spans="1:7" x14ac:dyDescent="0.25">
      <c r="A12" t="s">
        <v>85</v>
      </c>
      <c r="B12" t="s">
        <v>76</v>
      </c>
      <c r="C12">
        <v>66</v>
      </c>
      <c r="D12">
        <v>61</v>
      </c>
      <c r="E12">
        <v>69</v>
      </c>
      <c r="F12">
        <v>75</v>
      </c>
      <c r="G12">
        <v>86</v>
      </c>
    </row>
    <row r="13" spans="1:7" x14ac:dyDescent="0.25">
      <c r="A13" t="s">
        <v>86</v>
      </c>
      <c r="B13" t="s">
        <v>76</v>
      </c>
      <c r="C13">
        <v>82</v>
      </c>
      <c r="D13">
        <v>71</v>
      </c>
      <c r="E13">
        <v>69</v>
      </c>
      <c r="F13">
        <v>86</v>
      </c>
      <c r="G13">
        <v>99</v>
      </c>
    </row>
    <row r="14" spans="1:7" x14ac:dyDescent="0.25">
      <c r="A14" t="s">
        <v>87</v>
      </c>
      <c r="B14" t="s">
        <v>76</v>
      </c>
      <c r="C14">
        <v>65</v>
      </c>
      <c r="D14">
        <v>99</v>
      </c>
      <c r="E14">
        <v>58</v>
      </c>
      <c r="F14">
        <v>85</v>
      </c>
      <c r="G14">
        <v>70</v>
      </c>
    </row>
    <row r="15" spans="1:7" x14ac:dyDescent="0.25">
      <c r="A15" t="s">
        <v>88</v>
      </c>
      <c r="B15" t="s">
        <v>76</v>
      </c>
      <c r="C15">
        <v>82</v>
      </c>
      <c r="D15">
        <v>64</v>
      </c>
      <c r="E15">
        <v>95</v>
      </c>
      <c r="F15">
        <v>84</v>
      </c>
      <c r="G15">
        <v>82</v>
      </c>
    </row>
    <row r="16" spans="1:7" x14ac:dyDescent="0.25">
      <c r="A16" t="s">
        <v>89</v>
      </c>
      <c r="B16" t="s">
        <v>78</v>
      </c>
      <c r="C16">
        <v>61</v>
      </c>
      <c r="D16">
        <v>64</v>
      </c>
      <c r="E16">
        <v>56</v>
      </c>
      <c r="F16">
        <v>70</v>
      </c>
      <c r="G16">
        <v>83</v>
      </c>
    </row>
    <row r="17" spans="1:7" x14ac:dyDescent="0.25">
      <c r="A17" t="s">
        <v>90</v>
      </c>
      <c r="B17" t="s">
        <v>78</v>
      </c>
      <c r="C17">
        <v>62</v>
      </c>
      <c r="D17">
        <v>50</v>
      </c>
      <c r="E17">
        <v>62</v>
      </c>
      <c r="F17">
        <v>78</v>
      </c>
      <c r="G17">
        <v>89</v>
      </c>
    </row>
    <row r="18" spans="1:7" x14ac:dyDescent="0.25">
      <c r="A18" t="s">
        <v>91</v>
      </c>
      <c r="B18" t="s">
        <v>78</v>
      </c>
      <c r="C18">
        <v>63</v>
      </c>
      <c r="D18">
        <v>84</v>
      </c>
      <c r="E18">
        <v>89</v>
      </c>
      <c r="F18">
        <v>81</v>
      </c>
      <c r="G18">
        <v>93</v>
      </c>
    </row>
    <row r="19" spans="1:7" x14ac:dyDescent="0.25">
      <c r="A19" t="s">
        <v>92</v>
      </c>
      <c r="B19" t="s">
        <v>76</v>
      </c>
      <c r="C19">
        <v>86</v>
      </c>
      <c r="D19">
        <v>83</v>
      </c>
      <c r="E19">
        <v>54</v>
      </c>
      <c r="F19">
        <v>81</v>
      </c>
      <c r="G19">
        <v>89</v>
      </c>
    </row>
    <row r="20" spans="1:7" x14ac:dyDescent="0.25">
      <c r="A20" t="s">
        <v>93</v>
      </c>
      <c r="B20" t="s">
        <v>76</v>
      </c>
      <c r="C20">
        <v>82</v>
      </c>
      <c r="D20">
        <v>98</v>
      </c>
      <c r="E20">
        <v>81</v>
      </c>
      <c r="F20">
        <v>85</v>
      </c>
      <c r="G20">
        <v>86</v>
      </c>
    </row>
    <row r="21" spans="1:7" x14ac:dyDescent="0.25">
      <c r="A21" t="s">
        <v>94</v>
      </c>
      <c r="B21" t="s">
        <v>78</v>
      </c>
      <c r="C21">
        <v>60</v>
      </c>
      <c r="D21">
        <v>70</v>
      </c>
      <c r="E21">
        <v>81</v>
      </c>
      <c r="F21">
        <v>66</v>
      </c>
      <c r="G21">
        <v>98</v>
      </c>
    </row>
    <row r="22" spans="1:7" x14ac:dyDescent="0.25">
      <c r="A22" t="s">
        <v>95</v>
      </c>
      <c r="B22" t="s">
        <v>78</v>
      </c>
      <c r="C22">
        <v>62</v>
      </c>
      <c r="D22">
        <v>87</v>
      </c>
      <c r="E22">
        <v>69</v>
      </c>
      <c r="F22">
        <v>67</v>
      </c>
      <c r="G22">
        <v>70</v>
      </c>
    </row>
    <row r="23" spans="1:7" x14ac:dyDescent="0.25">
      <c r="A23" t="s">
        <v>96</v>
      </c>
      <c r="B23" t="s">
        <v>76</v>
      </c>
      <c r="C23">
        <v>94</v>
      </c>
      <c r="D23">
        <v>77</v>
      </c>
      <c r="E23">
        <v>84</v>
      </c>
      <c r="F23">
        <v>68</v>
      </c>
      <c r="G23">
        <v>94</v>
      </c>
    </row>
    <row r="24" spans="1:7" x14ac:dyDescent="0.25">
      <c r="A24" t="s">
        <v>97</v>
      </c>
      <c r="B24" t="s">
        <v>78</v>
      </c>
      <c r="C24">
        <v>58</v>
      </c>
      <c r="D24">
        <v>75</v>
      </c>
      <c r="E24">
        <v>68</v>
      </c>
      <c r="F24">
        <v>69</v>
      </c>
      <c r="G24">
        <v>84</v>
      </c>
    </row>
    <row r="25" spans="1:7" x14ac:dyDescent="0.25">
      <c r="A25" t="s">
        <v>98</v>
      </c>
      <c r="B25" t="s">
        <v>76</v>
      </c>
      <c r="C25">
        <v>62</v>
      </c>
      <c r="D25">
        <v>95</v>
      </c>
      <c r="E25">
        <v>71</v>
      </c>
      <c r="F25">
        <v>66</v>
      </c>
      <c r="G25">
        <v>74</v>
      </c>
    </row>
  </sheetData>
  <mergeCells count="1">
    <mergeCell ref="A1:G1"/>
  </mergeCells>
  <conditionalFormatting sqref="G4:G25">
    <cfRule type="cellIs" dxfId="2" priority="1" operator="greaterThan">
      <formula>87</formula>
    </cfRule>
    <cfRule type="cellIs" dxfId="1" priority="3" operator="lessThan">
      <formula>80</formula>
    </cfRule>
  </conditionalFormatting>
  <conditionalFormatting sqref="G5:G25">
    <cfRule type="cellIs" dxfId="0" priority="2" operator="between">
      <formula>80</formula>
      <formula>87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A176F-010C-4C84-8D18-39941A10A40F}">
  <dimension ref="A1:I31"/>
  <sheetViews>
    <sheetView workbookViewId="0">
      <selection activeCell="G15" sqref="G15"/>
    </sheetView>
  </sheetViews>
  <sheetFormatPr defaultColWidth="11.42578125" defaultRowHeight="15" x14ac:dyDescent="0.25"/>
  <cols>
    <col min="1" max="1" width="8.7109375" bestFit="1" customWidth="1"/>
    <col min="2" max="2" width="22.140625" bestFit="1" customWidth="1"/>
    <col min="3" max="3" width="37" bestFit="1" customWidth="1"/>
    <col min="4" max="4" width="9" bestFit="1" customWidth="1"/>
    <col min="5" max="5" width="12.42578125" bestFit="1" customWidth="1"/>
    <col min="6" max="6" width="16.42578125" bestFit="1" customWidth="1"/>
  </cols>
  <sheetData>
    <row r="1" spans="1:9" x14ac:dyDescent="0.25">
      <c r="A1" s="14" t="s">
        <v>99</v>
      </c>
      <c r="B1" s="14" t="s">
        <v>100</v>
      </c>
      <c r="C1" s="14" t="s">
        <v>101</v>
      </c>
      <c r="D1" s="14" t="s">
        <v>102</v>
      </c>
      <c r="E1" s="14" t="s">
        <v>103</v>
      </c>
      <c r="F1" s="15" t="s">
        <v>104</v>
      </c>
    </row>
    <row r="2" spans="1:9" x14ac:dyDescent="0.25">
      <c r="A2" s="16" t="s">
        <v>105</v>
      </c>
      <c r="B2" s="16" t="s">
        <v>106</v>
      </c>
      <c r="C2" s="17" t="s">
        <v>107</v>
      </c>
      <c r="D2" s="18">
        <v>168</v>
      </c>
      <c r="E2" s="18"/>
      <c r="F2" s="19">
        <v>152.88</v>
      </c>
      <c r="H2" s="32" t="s">
        <v>108</v>
      </c>
      <c r="I2" s="33"/>
    </row>
    <row r="3" spans="1:9" x14ac:dyDescent="0.25">
      <c r="A3" s="16" t="s">
        <v>109</v>
      </c>
      <c r="B3" s="16" t="s">
        <v>110</v>
      </c>
      <c r="C3" s="17" t="s">
        <v>107</v>
      </c>
      <c r="D3" s="18">
        <v>168</v>
      </c>
      <c r="E3" s="18"/>
      <c r="F3" s="19">
        <v>152.88</v>
      </c>
      <c r="H3" s="34"/>
    </row>
    <row r="4" spans="1:9" x14ac:dyDescent="0.25">
      <c r="A4" s="16" t="s">
        <v>111</v>
      </c>
      <c r="B4" s="16" t="s">
        <v>112</v>
      </c>
      <c r="C4" s="17" t="s">
        <v>113</v>
      </c>
      <c r="D4" s="18">
        <v>184</v>
      </c>
      <c r="E4" s="18" t="s">
        <v>114</v>
      </c>
      <c r="F4" s="19">
        <v>184</v>
      </c>
      <c r="H4" s="35"/>
    </row>
    <row r="5" spans="1:9" x14ac:dyDescent="0.25">
      <c r="A5" s="16" t="s">
        <v>115</v>
      </c>
      <c r="B5" s="16" t="s">
        <v>116</v>
      </c>
      <c r="C5" s="17" t="s">
        <v>113</v>
      </c>
      <c r="D5" s="18">
        <v>184</v>
      </c>
      <c r="E5" s="18"/>
      <c r="F5" s="19">
        <v>178.48</v>
      </c>
    </row>
    <row r="6" spans="1:9" x14ac:dyDescent="0.25">
      <c r="A6" s="16" t="s">
        <v>117</v>
      </c>
      <c r="B6" s="16" t="s">
        <v>118</v>
      </c>
      <c r="C6" s="17" t="s">
        <v>113</v>
      </c>
      <c r="D6" s="18">
        <v>184</v>
      </c>
      <c r="E6" s="18"/>
      <c r="F6" s="19">
        <v>178.48</v>
      </c>
    </row>
    <row r="7" spans="1:9" x14ac:dyDescent="0.25">
      <c r="A7" s="16" t="s">
        <v>119</v>
      </c>
      <c r="B7" s="16" t="s">
        <v>120</v>
      </c>
      <c r="C7" s="17" t="s">
        <v>121</v>
      </c>
      <c r="D7" s="18">
        <v>146</v>
      </c>
      <c r="E7" s="18"/>
      <c r="F7" s="19">
        <v>144.54</v>
      </c>
    </row>
    <row r="8" spans="1:9" x14ac:dyDescent="0.25">
      <c r="A8" s="16" t="s">
        <v>122</v>
      </c>
      <c r="B8" s="16" t="s">
        <v>123</v>
      </c>
      <c r="C8" s="17" t="s">
        <v>124</v>
      </c>
      <c r="D8" s="18">
        <v>201</v>
      </c>
      <c r="E8" s="18" t="s">
        <v>114</v>
      </c>
      <c r="F8" s="19">
        <v>201</v>
      </c>
    </row>
    <row r="9" spans="1:9" x14ac:dyDescent="0.25">
      <c r="A9" s="16" t="s">
        <v>125</v>
      </c>
      <c r="B9" s="16" t="s">
        <v>126</v>
      </c>
      <c r="C9" s="17" t="s">
        <v>127</v>
      </c>
      <c r="D9" s="18">
        <v>198</v>
      </c>
      <c r="E9" s="18"/>
      <c r="F9" s="19">
        <v>188.1</v>
      </c>
    </row>
    <row r="10" spans="1:9" x14ac:dyDescent="0.25">
      <c r="A10" s="16" t="s">
        <v>128</v>
      </c>
      <c r="B10" s="16" t="s">
        <v>129</v>
      </c>
      <c r="C10" s="17" t="s">
        <v>127</v>
      </c>
      <c r="D10" s="18">
        <v>198</v>
      </c>
      <c r="E10" s="18"/>
      <c r="F10" s="19">
        <v>178.2</v>
      </c>
    </row>
    <row r="11" spans="1:9" x14ac:dyDescent="0.25">
      <c r="A11" s="16" t="s">
        <v>130</v>
      </c>
      <c r="B11" s="16" t="s">
        <v>131</v>
      </c>
      <c r="C11" s="17" t="s">
        <v>132</v>
      </c>
      <c r="D11" s="18">
        <v>192</v>
      </c>
      <c r="E11" s="18" t="s">
        <v>114</v>
      </c>
      <c r="F11" s="19">
        <v>192</v>
      </c>
    </row>
    <row r="12" spans="1:9" x14ac:dyDescent="0.25">
      <c r="A12" s="20" t="s">
        <v>133</v>
      </c>
      <c r="B12" s="16" t="s">
        <v>134</v>
      </c>
      <c r="C12" s="21" t="s">
        <v>135</v>
      </c>
      <c r="D12" s="22">
        <v>195</v>
      </c>
      <c r="E12" s="18" t="s">
        <v>114</v>
      </c>
      <c r="F12" s="23">
        <v>195</v>
      </c>
    </row>
    <row r="13" spans="1:9" x14ac:dyDescent="0.25">
      <c r="A13" s="16" t="s">
        <v>136</v>
      </c>
      <c r="B13" s="16" t="s">
        <v>137</v>
      </c>
      <c r="C13" s="17" t="s">
        <v>138</v>
      </c>
      <c r="D13" s="18">
        <v>202</v>
      </c>
      <c r="E13" s="18"/>
      <c r="F13" s="19">
        <v>183.82</v>
      </c>
    </row>
    <row r="14" spans="1:9" x14ac:dyDescent="0.25">
      <c r="A14" s="16" t="s">
        <v>139</v>
      </c>
      <c r="B14" s="16" t="s">
        <v>140</v>
      </c>
      <c r="C14" s="17" t="s">
        <v>138</v>
      </c>
      <c r="D14" s="18">
        <v>202</v>
      </c>
      <c r="E14" s="18"/>
      <c r="F14" s="19">
        <v>189.88</v>
      </c>
    </row>
    <row r="15" spans="1:9" x14ac:dyDescent="0.25">
      <c r="A15" s="16" t="s">
        <v>141</v>
      </c>
      <c r="B15" s="16" t="s">
        <v>142</v>
      </c>
      <c r="C15" s="17" t="s">
        <v>138</v>
      </c>
      <c r="D15" s="18">
        <v>202</v>
      </c>
      <c r="E15" s="18" t="s">
        <v>114</v>
      </c>
      <c r="F15" s="19">
        <v>202</v>
      </c>
    </row>
    <row r="16" spans="1:9" x14ac:dyDescent="0.25">
      <c r="A16" s="16" t="s">
        <v>143</v>
      </c>
      <c r="B16" s="16" t="s">
        <v>144</v>
      </c>
      <c r="C16" s="17" t="s">
        <v>138</v>
      </c>
      <c r="D16" s="18">
        <v>202</v>
      </c>
      <c r="E16" s="18"/>
      <c r="F16" s="19">
        <v>189.88</v>
      </c>
    </row>
    <row r="17" spans="1:6" x14ac:dyDescent="0.25">
      <c r="A17" s="16" t="s">
        <v>133</v>
      </c>
      <c r="B17" s="16" t="s">
        <v>145</v>
      </c>
      <c r="C17" s="17" t="s">
        <v>146</v>
      </c>
      <c r="D17" s="18">
        <v>199</v>
      </c>
      <c r="E17" s="18"/>
      <c r="F17" s="19">
        <v>185.07</v>
      </c>
    </row>
    <row r="18" spans="1:6" x14ac:dyDescent="0.25">
      <c r="A18" s="16" t="s">
        <v>147</v>
      </c>
      <c r="B18" s="16" t="s">
        <v>148</v>
      </c>
      <c r="C18" s="17" t="s">
        <v>146</v>
      </c>
      <c r="D18" s="18">
        <v>199</v>
      </c>
      <c r="E18" s="18"/>
      <c r="F18" s="19">
        <v>183.08</v>
      </c>
    </row>
    <row r="19" spans="1:6" x14ac:dyDescent="0.25">
      <c r="A19" s="16" t="s">
        <v>117</v>
      </c>
      <c r="B19" s="16" t="s">
        <v>149</v>
      </c>
      <c r="C19" s="17" t="s">
        <v>146</v>
      </c>
      <c r="D19" s="18">
        <v>199</v>
      </c>
      <c r="E19" s="18" t="s">
        <v>114</v>
      </c>
      <c r="F19" s="19">
        <v>179.1</v>
      </c>
    </row>
    <row r="20" spans="1:6" x14ac:dyDescent="0.25">
      <c r="A20" s="16" t="s">
        <v>115</v>
      </c>
      <c r="B20" s="16" t="s">
        <v>150</v>
      </c>
      <c r="C20" s="17" t="s">
        <v>151</v>
      </c>
      <c r="D20" s="18">
        <v>170</v>
      </c>
      <c r="E20" s="18"/>
      <c r="F20" s="19">
        <v>161.5</v>
      </c>
    </row>
    <row r="21" spans="1:6" x14ac:dyDescent="0.25">
      <c r="A21" s="16" t="s">
        <v>152</v>
      </c>
      <c r="B21" s="16" t="s">
        <v>153</v>
      </c>
      <c r="C21" s="17" t="s">
        <v>151</v>
      </c>
      <c r="D21" s="18">
        <v>170</v>
      </c>
      <c r="E21" s="18"/>
      <c r="F21" s="19">
        <v>158.1</v>
      </c>
    </row>
    <row r="22" spans="1:6" x14ac:dyDescent="0.25">
      <c r="A22" s="16" t="s">
        <v>154</v>
      </c>
      <c r="B22" s="16" t="s">
        <v>155</v>
      </c>
      <c r="C22" s="17" t="s">
        <v>156</v>
      </c>
      <c r="D22" s="18">
        <v>194</v>
      </c>
      <c r="E22" s="18"/>
      <c r="F22" s="19">
        <v>188.18</v>
      </c>
    </row>
    <row r="23" spans="1:6" x14ac:dyDescent="0.25">
      <c r="A23" s="16" t="s">
        <v>157</v>
      </c>
      <c r="B23" s="16" t="s">
        <v>158</v>
      </c>
      <c r="C23" s="17" t="s">
        <v>156</v>
      </c>
      <c r="D23" s="18">
        <v>194</v>
      </c>
      <c r="E23" s="18"/>
      <c r="F23" s="19">
        <v>192.06</v>
      </c>
    </row>
    <row r="24" spans="1:6" x14ac:dyDescent="0.25">
      <c r="A24" s="16" t="s">
        <v>141</v>
      </c>
      <c r="B24" s="16" t="s">
        <v>159</v>
      </c>
      <c r="C24" s="17" t="s">
        <v>160</v>
      </c>
      <c r="D24" s="18">
        <v>214</v>
      </c>
      <c r="E24" s="18" t="s">
        <v>114</v>
      </c>
      <c r="F24" s="19">
        <v>209.72</v>
      </c>
    </row>
    <row r="25" spans="1:6" x14ac:dyDescent="0.25">
      <c r="A25" s="16" t="s">
        <v>161</v>
      </c>
      <c r="B25" s="16" t="s">
        <v>162</v>
      </c>
      <c r="C25" s="17" t="s">
        <v>163</v>
      </c>
      <c r="D25" s="18">
        <v>217</v>
      </c>
      <c r="E25" s="18" t="s">
        <v>114</v>
      </c>
      <c r="F25" s="19">
        <v>210.49</v>
      </c>
    </row>
    <row r="26" spans="1:6" x14ac:dyDescent="0.25">
      <c r="A26" s="16" t="s">
        <v>164</v>
      </c>
      <c r="B26" s="16" t="s">
        <v>165</v>
      </c>
      <c r="C26" s="17" t="s">
        <v>107</v>
      </c>
      <c r="D26" s="18">
        <v>168</v>
      </c>
      <c r="E26" s="18" t="s">
        <v>114</v>
      </c>
      <c r="F26" s="19">
        <v>157.91999999999999</v>
      </c>
    </row>
    <row r="27" spans="1:6" x14ac:dyDescent="0.25">
      <c r="A27" s="16" t="s">
        <v>166</v>
      </c>
      <c r="B27" s="16" t="s">
        <v>167</v>
      </c>
      <c r="C27" s="17" t="s">
        <v>113</v>
      </c>
      <c r="D27" s="18">
        <v>184</v>
      </c>
      <c r="E27" s="18"/>
      <c r="F27" s="19">
        <v>182.16</v>
      </c>
    </row>
    <row r="28" spans="1:6" x14ac:dyDescent="0.25">
      <c r="A28" s="16" t="s">
        <v>168</v>
      </c>
      <c r="B28" s="16" t="s">
        <v>169</v>
      </c>
      <c r="C28" s="17" t="s">
        <v>170</v>
      </c>
      <c r="D28" s="18">
        <v>101</v>
      </c>
      <c r="E28" s="18"/>
      <c r="F28" s="19">
        <v>90.9</v>
      </c>
    </row>
    <row r="29" spans="1:6" x14ac:dyDescent="0.25">
      <c r="A29" s="16" t="s">
        <v>164</v>
      </c>
      <c r="B29" s="16" t="s">
        <v>171</v>
      </c>
      <c r="C29" s="17" t="s">
        <v>170</v>
      </c>
      <c r="D29" s="18">
        <v>101</v>
      </c>
      <c r="E29" s="18"/>
      <c r="F29" s="19">
        <v>99.99</v>
      </c>
    </row>
    <row r="30" spans="1:6" x14ac:dyDescent="0.25">
      <c r="A30" s="16" t="s">
        <v>172</v>
      </c>
      <c r="B30" s="16" t="s">
        <v>173</v>
      </c>
      <c r="C30" s="17" t="s">
        <v>124</v>
      </c>
      <c r="D30" s="18">
        <v>201</v>
      </c>
      <c r="E30" s="18" t="s">
        <v>114</v>
      </c>
      <c r="F30" s="19">
        <v>201</v>
      </c>
    </row>
    <row r="31" spans="1:6" x14ac:dyDescent="0.25">
      <c r="A31" s="16" t="s">
        <v>174</v>
      </c>
      <c r="B31" s="16" t="s">
        <v>175</v>
      </c>
      <c r="C31" s="17" t="s">
        <v>124</v>
      </c>
      <c r="D31" s="18">
        <v>201</v>
      </c>
      <c r="E31" s="18"/>
      <c r="F31" s="19">
        <v>198.99</v>
      </c>
    </row>
  </sheetData>
  <mergeCells count="2">
    <mergeCell ref="H2:I2"/>
    <mergeCell ref="H3:H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DCF2-C6F4-4209-AA18-10A08B2A57B3}">
  <dimension ref="A1:E25"/>
  <sheetViews>
    <sheetView workbookViewId="0">
      <selection activeCell="I12" sqref="I12"/>
    </sheetView>
  </sheetViews>
  <sheetFormatPr defaultColWidth="11.42578125" defaultRowHeight="15" x14ac:dyDescent="0.25"/>
  <cols>
    <col min="1" max="1" width="49.85546875" bestFit="1" customWidth="1"/>
    <col min="4" max="4" width="49.85546875" bestFit="1" customWidth="1"/>
    <col min="5" max="5" width="7" bestFit="1" customWidth="1"/>
  </cols>
  <sheetData>
    <row r="1" spans="1:5" x14ac:dyDescent="0.25">
      <c r="A1" s="36" t="s">
        <v>176</v>
      </c>
      <c r="B1" s="36"/>
    </row>
    <row r="2" spans="1:5" x14ac:dyDescent="0.25">
      <c r="A2" s="36"/>
      <c r="B2" s="36"/>
    </row>
    <row r="4" spans="1:5" ht="15.75" thickBot="1" x14ac:dyDescent="0.3">
      <c r="A4" s="24" t="s">
        <v>1</v>
      </c>
      <c r="B4" s="24" t="s">
        <v>177</v>
      </c>
      <c r="D4" s="25" t="s">
        <v>1</v>
      </c>
      <c r="E4" s="25" t="s">
        <v>177</v>
      </c>
    </row>
    <row r="5" spans="1:5" ht="15.75" thickTop="1" x14ac:dyDescent="0.25">
      <c r="A5" s="26" t="s">
        <v>178</v>
      </c>
      <c r="B5" s="27">
        <v>0.95</v>
      </c>
      <c r="D5" s="28"/>
      <c r="E5" s="29"/>
    </row>
    <row r="6" spans="1:5" x14ac:dyDescent="0.25">
      <c r="A6" s="26" t="s">
        <v>179</v>
      </c>
      <c r="B6" s="27">
        <v>1.75</v>
      </c>
      <c r="D6" s="28"/>
      <c r="E6" s="29"/>
    </row>
    <row r="7" spans="1:5" x14ac:dyDescent="0.25">
      <c r="A7" s="26" t="s">
        <v>180</v>
      </c>
      <c r="B7" s="27">
        <v>1.1499999999999999</v>
      </c>
      <c r="D7" s="28"/>
      <c r="E7" s="29"/>
    </row>
    <row r="8" spans="1:5" x14ac:dyDescent="0.25">
      <c r="A8" s="26" t="s">
        <v>181</v>
      </c>
      <c r="B8" s="27">
        <v>1.2</v>
      </c>
      <c r="D8" s="28"/>
      <c r="E8" s="29"/>
    </row>
    <row r="9" spans="1:5" x14ac:dyDescent="0.25">
      <c r="A9" s="26" t="s">
        <v>179</v>
      </c>
      <c r="B9" s="27">
        <v>1.78</v>
      </c>
      <c r="D9" s="28"/>
      <c r="E9" s="29"/>
    </row>
    <row r="10" spans="1:5" x14ac:dyDescent="0.25">
      <c r="A10" s="26" t="s">
        <v>182</v>
      </c>
      <c r="B10" s="27">
        <v>1.4</v>
      </c>
      <c r="D10" s="28"/>
      <c r="E10" s="29"/>
    </row>
    <row r="11" spans="1:5" x14ac:dyDescent="0.25">
      <c r="A11" s="26" t="s">
        <v>183</v>
      </c>
      <c r="B11" s="27">
        <v>1.8</v>
      </c>
      <c r="D11" s="28"/>
      <c r="E11" s="29"/>
    </row>
    <row r="12" spans="1:5" x14ac:dyDescent="0.25">
      <c r="A12" s="26" t="s">
        <v>184</v>
      </c>
      <c r="B12" s="27">
        <v>2.65</v>
      </c>
      <c r="D12" s="28"/>
      <c r="E12" s="29"/>
    </row>
    <row r="13" spans="1:5" x14ac:dyDescent="0.25">
      <c r="A13" s="26" t="s">
        <v>184</v>
      </c>
      <c r="B13" s="27">
        <v>2.6</v>
      </c>
      <c r="D13" s="28"/>
      <c r="E13" s="29"/>
    </row>
    <row r="14" spans="1:5" x14ac:dyDescent="0.25">
      <c r="A14" s="26" t="s">
        <v>185</v>
      </c>
      <c r="B14" s="27">
        <v>1.1000000000000001</v>
      </c>
      <c r="D14" s="28"/>
      <c r="E14" s="29"/>
    </row>
    <row r="15" spans="1:5" x14ac:dyDescent="0.25">
      <c r="A15" s="26" t="s">
        <v>186</v>
      </c>
      <c r="B15" s="27">
        <v>0.68</v>
      </c>
      <c r="D15" s="28"/>
      <c r="E15" s="29"/>
    </row>
    <row r="16" spans="1:5" x14ac:dyDescent="0.25">
      <c r="A16" s="26" t="s">
        <v>187</v>
      </c>
      <c r="B16" s="27">
        <v>2.35</v>
      </c>
      <c r="D16" s="28"/>
      <c r="E16" s="29"/>
    </row>
    <row r="17" spans="1:5" x14ac:dyDescent="0.25">
      <c r="A17" s="26" t="s">
        <v>183</v>
      </c>
      <c r="B17" s="27">
        <v>1.85</v>
      </c>
      <c r="D17" s="28"/>
      <c r="E17" s="29"/>
    </row>
    <row r="18" spans="1:5" x14ac:dyDescent="0.25">
      <c r="A18" s="26" t="s">
        <v>185</v>
      </c>
      <c r="B18" s="27">
        <v>1.1200000000000001</v>
      </c>
      <c r="D18" s="28"/>
      <c r="E18" s="29"/>
    </row>
    <row r="19" spans="1:5" x14ac:dyDescent="0.25">
      <c r="A19" s="26" t="s">
        <v>188</v>
      </c>
      <c r="B19" s="27">
        <v>1.35</v>
      </c>
      <c r="D19" s="28"/>
      <c r="E19" s="29"/>
    </row>
    <row r="20" spans="1:5" x14ac:dyDescent="0.25">
      <c r="A20" s="26" t="s">
        <v>189</v>
      </c>
      <c r="B20" s="27">
        <v>1.65</v>
      </c>
      <c r="D20" s="28"/>
      <c r="E20" s="29"/>
    </row>
    <row r="21" spans="1:5" x14ac:dyDescent="0.25">
      <c r="A21" s="26" t="s">
        <v>190</v>
      </c>
      <c r="B21" s="27">
        <v>2.25</v>
      </c>
      <c r="D21" s="28"/>
      <c r="E21" s="29"/>
    </row>
    <row r="22" spans="1:5" x14ac:dyDescent="0.25">
      <c r="A22" s="26" t="s">
        <v>184</v>
      </c>
      <c r="B22" s="27">
        <v>2.57</v>
      </c>
      <c r="D22" s="28"/>
      <c r="E22" s="29"/>
    </row>
    <row r="23" spans="1:5" x14ac:dyDescent="0.25">
      <c r="A23" s="26" t="s">
        <v>186</v>
      </c>
      <c r="B23" s="27">
        <v>0.71</v>
      </c>
      <c r="D23" s="28"/>
      <c r="E23" s="29"/>
    </row>
    <row r="24" spans="1:5" x14ac:dyDescent="0.25">
      <c r="A24" s="26" t="s">
        <v>191</v>
      </c>
      <c r="B24" s="27">
        <v>4.5199999999999996</v>
      </c>
      <c r="D24" s="28"/>
      <c r="E24" s="29"/>
    </row>
    <row r="25" spans="1:5" x14ac:dyDescent="0.25">
      <c r="A25" s="26" t="s">
        <v>192</v>
      </c>
      <c r="B25" s="27">
        <v>4.3499999999999996</v>
      </c>
      <c r="D25" s="28"/>
      <c r="E25" s="29"/>
    </row>
  </sheetData>
  <mergeCells count="1">
    <mergeCell ref="A1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Regiones</vt:lpstr>
      <vt:lpstr>Bicicletas</vt:lpstr>
      <vt:lpstr>Zonas</vt:lpstr>
      <vt:lpstr>Resultados</vt:lpstr>
      <vt:lpstr>Tratamientos</vt:lpstr>
      <vt:lpstr>Exportacion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 Sergio</dc:creator>
  <cp:lastModifiedBy>Irvin Pineda</cp:lastModifiedBy>
  <dcterms:created xsi:type="dcterms:W3CDTF">2026-01-23T13:23:06Z</dcterms:created>
  <dcterms:modified xsi:type="dcterms:W3CDTF">2026-01-26T00:36:30Z</dcterms:modified>
</cp:coreProperties>
</file>