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 Irvin Pineda\Desktop\5 PROYECTOS\Excel-Simulator\projects\"/>
    </mc:Choice>
  </mc:AlternateContent>
  <xr:revisionPtr revIDLastSave="0" documentId="13_ncr:1_{F904E45D-FA5D-4569-B2FD-655050F1AF37}" xr6:coauthVersionLast="47" xr6:coauthVersionMax="47" xr10:uidLastSave="{00000000-0000-0000-0000-000000000000}"/>
  <bookViews>
    <workbookView xWindow="-120" yWindow="-120" windowWidth="20730" windowHeight="11040" tabRatio="868" xr2:uid="{61570FA8-6CBE-4879-B43E-48AA6C398E46}"/>
  </bookViews>
  <sheets>
    <sheet name="Analisis" sheetId="7" r:id="rId1"/>
    <sheet name="Notas" sheetId="8" r:id="rId2"/>
    <sheet name="Notas 2" sheetId="9" r:id="rId3"/>
    <sheet name="Result" sheetId="10" r:id="rId4"/>
    <sheet name="Desagrupar" sheetId="11" r:id="rId5"/>
  </sheets>
  <definedNames>
    <definedName name="_xlnm.Print_Titles" localSheetId="3">Result!$1:$6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0" l="1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</calcChain>
</file>

<file path=xl/sharedStrings.xml><?xml version="1.0" encoding="utf-8"?>
<sst xmlns="http://schemas.openxmlformats.org/spreadsheetml/2006/main" count="199" uniqueCount="76">
  <si>
    <t>Ubicación</t>
  </si>
  <si>
    <t>Director</t>
  </si>
  <si>
    <t>Especialidad</t>
  </si>
  <si>
    <t>Unidades producidas</t>
  </si>
  <si>
    <t>Maximo de unidades</t>
  </si>
  <si>
    <t>México</t>
  </si>
  <si>
    <t>El Salvador</t>
  </si>
  <si>
    <t>Nicaragua</t>
  </si>
  <si>
    <t>Costa Rica</t>
  </si>
  <si>
    <t>Colombia</t>
  </si>
  <si>
    <t>Peru</t>
  </si>
  <si>
    <t>Venezuela</t>
  </si>
  <si>
    <t>Rodolfo Castro</t>
  </si>
  <si>
    <t>Diego Cazares</t>
  </si>
  <si>
    <t>Lucia Zeledon</t>
  </si>
  <si>
    <t>Mike Matamoros</t>
  </si>
  <si>
    <t>Miguel Seminario</t>
  </si>
  <si>
    <t>Angie Gil Hurtado</t>
  </si>
  <si>
    <t>Ernesto Landa</t>
  </si>
  <si>
    <t>Perfilado</t>
  </si>
  <si>
    <t>Cromado</t>
  </si>
  <si>
    <t>Pintura</t>
  </si>
  <si>
    <t>Pintura especial</t>
  </si>
  <si>
    <t>Ensamblaje</t>
  </si>
  <si>
    <t>Subensamblaje</t>
  </si>
  <si>
    <t>Ensamblaje final</t>
  </si>
  <si>
    <t>Exam Result</t>
  </si>
  <si>
    <t>Nombre</t>
  </si>
  <si>
    <t>Seccion</t>
  </si>
  <si>
    <t>Exam 1</t>
  </si>
  <si>
    <t>Exam 2</t>
  </si>
  <si>
    <t>Exam 3</t>
  </si>
  <si>
    <t>Exam 4</t>
  </si>
  <si>
    <t>Best Result</t>
  </si>
  <si>
    <t>Nina Sunset</t>
  </si>
  <si>
    <t>A</t>
  </si>
  <si>
    <t>Sou Min</t>
  </si>
  <si>
    <t>B</t>
  </si>
  <si>
    <t>Humberto Acevedo</t>
  </si>
  <si>
    <t>Victor Castro</t>
  </si>
  <si>
    <t>Gustavo Chong</t>
  </si>
  <si>
    <t>Ken Sutton</t>
  </si>
  <si>
    <t>Garcìa Molina</t>
  </si>
  <si>
    <t>Aspe Andreu</t>
  </si>
  <si>
    <t>Ching Vhu Ling</t>
  </si>
  <si>
    <t>Monopoly</t>
  </si>
  <si>
    <t>Pac mhan</t>
  </si>
  <si>
    <t>Perez Rodesno</t>
  </si>
  <si>
    <t>Mario Li</t>
  </si>
  <si>
    <t>Blandino Nerios</t>
  </si>
  <si>
    <t>Min Young</t>
  </si>
  <si>
    <t>Min Suite</t>
  </si>
  <si>
    <t>John Smits</t>
  </si>
  <si>
    <t>Jay Adams</t>
  </si>
  <si>
    <t>Gim Burton</t>
  </si>
  <si>
    <t>Buter Joseph</t>
  </si>
  <si>
    <t>Keny Loggins</t>
  </si>
  <si>
    <t>Walter CL</t>
  </si>
  <si>
    <t>Cacahua</t>
  </si>
  <si>
    <t>Chocoterapia</t>
  </si>
  <si>
    <t>Con Tequila</t>
  </si>
  <si>
    <t>Envolvente De Aguacate Con Yogurt</t>
  </si>
  <si>
    <t>Envolvente Desintoxicante</t>
  </si>
  <si>
    <t>Heavenly Body</t>
  </si>
  <si>
    <t>Hieloterapia</t>
  </si>
  <si>
    <t>Hipertermia</t>
  </si>
  <si>
    <t>Modelaje</t>
  </si>
  <si>
    <t>Relajante (No Recuerda Bien El Nombre)</t>
  </si>
  <si>
    <t>Ritual Azul Turquesa</t>
  </si>
  <si>
    <t>Ritual Esencial Del Mar</t>
  </si>
  <si>
    <t>Velo De Novia (Exfoliacion Corporal)</t>
  </si>
  <si>
    <t>De Algas Desintoxicantes</t>
  </si>
  <si>
    <t>Etiquetas de fila</t>
  </si>
  <si>
    <t>Suma de PRECIO</t>
  </si>
  <si>
    <t>Total general</t>
  </si>
  <si>
    <t xml:space="preserve">Unit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</si>
</sst>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$&quot;* #,##0.00_-;\-&quot;$&quot;* #,##0.00_-;_-&quot;$&quot;* &quot;-&quot;??_-;_-@_-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0" fillId="0" borderId="3" xfId="0" applyBorder="1"/>
    <xf numFmtId="0" fontId="1" fillId="0" borderId="0" xfId="1" applyBorder="1"/>
    <xf numFmtId="164" fontId="0" fillId="0" borderId="3" xfId="0" applyNumberFormat="1" applyBorder="1"/>
    <xf numFmtId="0" fontId="4" fillId="0" borderId="2" xfId="2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0" fontId="3" fillId="3" borderId="0" xfId="0" applyFont="1" applyFill="1" applyAlignment="1">
      <alignment horizontal="center" vertical="center"/>
    </xf>
    <xf numFmtId="165" fontId="0" fillId="0" borderId="0" xfId="0" applyNumberFormat="1"/>
    <xf numFmtId="0" fontId="4" fillId="0" borderId="3" xfId="2" applyFont="1" applyBorder="1" applyAlignment="1">
      <alignment horizontal="center" vertical="center"/>
    </xf>
  </cellXfs>
  <cellStyles count="3">
    <cellStyle name="Heading 2" xfId="1" builtinId="17"/>
    <cellStyle name="Heading 3" xfId="2" builtinId="18"/>
    <cellStyle name="Normal" xfId="0" builtinId="0"/>
  </cellStyles>
  <dxfs count="0"/>
  <tableStyles count="1" defaultTableStyle="TableStyleMedium2" defaultPivotStyle="PivotStyleLight16">
    <tableStyle name="Invisible" pivot="0" table="0" count="0" xr9:uid="{BFDA463F-0EE8-4508-963C-6573C0E1AD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[P6.xlsx]Analisis!TablaDinámica2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Analisis!$A$4:$A$18</c:f>
              <c:strCache>
                <c:ptCount val="14"/>
                <c:pt idx="0">
                  <c:v>Cacahua</c:v>
                </c:pt>
                <c:pt idx="1">
                  <c:v>Chocoterapia</c:v>
                </c:pt>
                <c:pt idx="2">
                  <c:v>Con Tequila</c:v>
                </c:pt>
                <c:pt idx="3">
                  <c:v>De Algas Desintoxicantes</c:v>
                </c:pt>
                <c:pt idx="4">
                  <c:v>Envolvente De Aguacate Con Yogurt</c:v>
                </c:pt>
                <c:pt idx="5">
                  <c:v>Envolvente Desintoxicante</c:v>
                </c:pt>
                <c:pt idx="6">
                  <c:v>Heavenly Body</c:v>
                </c:pt>
                <c:pt idx="7">
                  <c:v>Hieloterapia</c:v>
                </c:pt>
                <c:pt idx="8">
                  <c:v>Hipertermia</c:v>
                </c:pt>
                <c:pt idx="9">
                  <c:v>Modelaje</c:v>
                </c:pt>
                <c:pt idx="10">
                  <c:v>Relajante (No Recuerda Bien El Nombre)</c:v>
                </c:pt>
                <c:pt idx="11">
                  <c:v>Ritual Azul Turquesa</c:v>
                </c:pt>
                <c:pt idx="12">
                  <c:v>Ritual Esencial Del Mar</c:v>
                </c:pt>
                <c:pt idx="13">
                  <c:v>Velo De Novia (Exfoliacion Corporal)</c:v>
                </c:pt>
              </c:strCache>
            </c:strRef>
          </c:cat>
          <c:val>
            <c:numRef>
              <c:f>Analisis!$B$4:$B$18</c:f>
              <c:numCache>
                <c:formatCode>General</c:formatCode>
                <c:ptCount val="14"/>
                <c:pt idx="0">
                  <c:v>504</c:v>
                </c:pt>
                <c:pt idx="1">
                  <c:v>736</c:v>
                </c:pt>
                <c:pt idx="2">
                  <c:v>146</c:v>
                </c:pt>
                <c:pt idx="3">
                  <c:v>202</c:v>
                </c:pt>
                <c:pt idx="4">
                  <c:v>603</c:v>
                </c:pt>
                <c:pt idx="5">
                  <c:v>396</c:v>
                </c:pt>
                <c:pt idx="6">
                  <c:v>192</c:v>
                </c:pt>
                <c:pt idx="7">
                  <c:v>195</c:v>
                </c:pt>
                <c:pt idx="8">
                  <c:v>808</c:v>
                </c:pt>
                <c:pt idx="9">
                  <c:v>597</c:v>
                </c:pt>
                <c:pt idx="10">
                  <c:v>340</c:v>
                </c:pt>
                <c:pt idx="11">
                  <c:v>388</c:v>
                </c:pt>
                <c:pt idx="12">
                  <c:v>214</c:v>
                </c:pt>
                <c:pt idx="13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E-435C-A750-81FF14798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346975"/>
        <c:axId val="889347455"/>
      </c:barChart>
      <c:catAx>
        <c:axId val="88934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889347455"/>
        <c:crosses val="autoZero"/>
        <c:auto val="1"/>
        <c:lblAlgn val="ctr"/>
        <c:lblOffset val="100"/>
        <c:noMultiLvlLbl val="0"/>
      </c:catAx>
      <c:valAx>
        <c:axId val="88934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88934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80962</xdr:rowOff>
    </xdr:from>
    <xdr:to>
      <xdr:col>8</xdr:col>
      <xdr:colOff>180975</xdr:colOff>
      <xdr:row>16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A26FFF-EA23-6902-3EE7-3A4917293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eacher%20Sergio/Downloads/Reporte_de_Venta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4.510587152778" createdVersion="8" refreshedVersion="8" minRefreshableVersion="3" recordCount="30" xr:uid="{71B254DB-866E-4967-ABDA-8B3FBDD813E5}">
  <cacheSource type="worksheet">
    <worksheetSource ref="A1:F31" sheet="Tratamientos" r:id="rId2"/>
  </cacheSource>
  <cacheFields count="6">
    <cacheField name="CLIENTE" numFmtId="0">
      <sharedItems count="25">
        <s v="B-18"/>
        <s v="A-19"/>
        <s v="B-11"/>
        <s v="D-15"/>
        <s v="A-12"/>
        <s v="A-14"/>
        <s v="D-13"/>
        <s v="A-18"/>
        <s v="D-20"/>
        <s v="B-14"/>
        <s v="B-10"/>
        <s v="D-11"/>
        <s v="A-11"/>
        <s v="A-20"/>
        <s v="D-10"/>
        <s v="D-12"/>
        <s v="C-16"/>
        <s v="B-19"/>
        <s v="D-14"/>
        <s v="A-15"/>
        <s v="B-17"/>
        <s v="B-16"/>
        <s v="B-15"/>
        <s v="D-18"/>
        <s v="D-17"/>
      </sharedItems>
    </cacheField>
    <cacheField name="CÓDIGO TRATAMIENTO" numFmtId="0">
      <sharedItems/>
    </cacheField>
    <cacheField name="TRATAMIENTO" numFmtId="0">
      <sharedItems count="14">
        <s v="Cacahua"/>
        <s v="Chocoterapia"/>
        <s v="Con Tequila"/>
        <s v="Envolvente De Aguacate Con Yogurt"/>
        <s v="Envolvente Desintoxicante"/>
        <s v="Heavenly Body"/>
        <s v="Hieloterapia"/>
        <s v="Hipertermia"/>
        <s v="Modelaje"/>
        <s v="Relajante (No Recuerda Bien El Nombre)"/>
        <s v="Ritual Azul Turquesa"/>
        <s v="Ritual Esencial Del Mar"/>
        <s v="Velo De Novia (Exfoliacion Corporal)"/>
        <s v="De Algas Desintoxicantes"/>
      </sharedItems>
    </cacheField>
    <cacheField name="PRECIO" numFmtId="164">
      <sharedItems containsSemiMixedTypes="0" containsString="0" containsNumber="1" containsInteger="1" minValue="101" maxValue="217"/>
    </cacheField>
    <cacheField name="DESCUENTO" numFmtId="164">
      <sharedItems containsBlank="1" count="2">
        <m/>
        <s v="SI"/>
      </sharedItems>
    </cacheField>
    <cacheField name="TOTAL COBRADO" numFmtId="164">
      <sharedItems containsSemiMixedTypes="0" containsString="0" containsNumber="1" minValue="90.9" maxValue="210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SV011601"/>
    <x v="0"/>
    <n v="168"/>
    <x v="0"/>
    <n v="152.88"/>
  </r>
  <r>
    <x v="1"/>
    <s v="SV012601"/>
    <x v="0"/>
    <n v="168"/>
    <x v="0"/>
    <n v="152.88"/>
  </r>
  <r>
    <x v="2"/>
    <s v="SV008201"/>
    <x v="1"/>
    <n v="184"/>
    <x v="1"/>
    <n v="184"/>
  </r>
  <r>
    <x v="3"/>
    <s v="SV010901"/>
    <x v="1"/>
    <n v="184"/>
    <x v="0"/>
    <n v="178.48"/>
  </r>
  <r>
    <x v="4"/>
    <s v="SV020401"/>
    <x v="1"/>
    <n v="184"/>
    <x v="0"/>
    <n v="178.48"/>
  </r>
  <r>
    <x v="5"/>
    <s v="SV002901"/>
    <x v="2"/>
    <n v="146"/>
    <x v="0"/>
    <n v="144.54"/>
  </r>
  <r>
    <x v="6"/>
    <s v="SV006801"/>
    <x v="3"/>
    <n v="201"/>
    <x v="1"/>
    <n v="201"/>
  </r>
  <r>
    <x v="7"/>
    <s v="SV010101"/>
    <x v="4"/>
    <n v="198"/>
    <x v="0"/>
    <n v="188.1"/>
  </r>
  <r>
    <x v="8"/>
    <s v="SV017401"/>
    <x v="4"/>
    <n v="198"/>
    <x v="0"/>
    <n v="178.2"/>
  </r>
  <r>
    <x v="9"/>
    <s v="SV006301"/>
    <x v="5"/>
    <n v="192"/>
    <x v="1"/>
    <n v="192"/>
  </r>
  <r>
    <x v="10"/>
    <s v="SV004101"/>
    <x v="6"/>
    <n v="195"/>
    <x v="1"/>
    <n v="195"/>
  </r>
  <r>
    <x v="11"/>
    <s v="SV005701"/>
    <x v="7"/>
    <n v="202"/>
    <x v="0"/>
    <n v="183.82"/>
  </r>
  <r>
    <x v="12"/>
    <s v="SV007601"/>
    <x v="7"/>
    <n v="202"/>
    <x v="0"/>
    <n v="189.88"/>
  </r>
  <r>
    <x v="13"/>
    <s v="SV008001"/>
    <x v="7"/>
    <n v="202"/>
    <x v="1"/>
    <n v="202"/>
  </r>
  <r>
    <x v="14"/>
    <s v="SV012201"/>
    <x v="7"/>
    <n v="202"/>
    <x v="0"/>
    <n v="189.88"/>
  </r>
  <r>
    <x v="10"/>
    <s v="SV016701"/>
    <x v="8"/>
    <n v="199"/>
    <x v="0"/>
    <n v="185.07"/>
  </r>
  <r>
    <x v="15"/>
    <s v="SV020101"/>
    <x v="8"/>
    <n v="199"/>
    <x v="0"/>
    <n v="183.08"/>
  </r>
  <r>
    <x v="4"/>
    <s v="SV020501"/>
    <x v="8"/>
    <n v="199"/>
    <x v="1"/>
    <n v="179.1"/>
  </r>
  <r>
    <x v="3"/>
    <s v="SV009801"/>
    <x v="9"/>
    <n v="170"/>
    <x v="0"/>
    <n v="161.5"/>
  </r>
  <r>
    <x v="16"/>
    <s v="SV017101"/>
    <x v="9"/>
    <n v="170"/>
    <x v="0"/>
    <n v="158.1"/>
  </r>
  <r>
    <x v="17"/>
    <s v="SV005901"/>
    <x v="10"/>
    <n v="194"/>
    <x v="0"/>
    <n v="188.18"/>
  </r>
  <r>
    <x v="18"/>
    <s v="SV016501"/>
    <x v="10"/>
    <n v="194"/>
    <x v="0"/>
    <n v="192.06"/>
  </r>
  <r>
    <x v="13"/>
    <s v="SV010301"/>
    <x v="11"/>
    <n v="214"/>
    <x v="1"/>
    <n v="209.72"/>
  </r>
  <r>
    <x v="19"/>
    <s v="SV016601"/>
    <x v="12"/>
    <n v="217"/>
    <x v="1"/>
    <n v="210.49"/>
  </r>
  <r>
    <x v="20"/>
    <s v="SV008301"/>
    <x v="0"/>
    <n v="168"/>
    <x v="1"/>
    <n v="157.91999999999999"/>
  </r>
  <r>
    <x v="21"/>
    <s v="SV015701"/>
    <x v="1"/>
    <n v="184"/>
    <x v="0"/>
    <n v="182.16"/>
  </r>
  <r>
    <x v="22"/>
    <s v="SV015601"/>
    <x v="13"/>
    <n v="101"/>
    <x v="0"/>
    <n v="90.9"/>
  </r>
  <r>
    <x v="20"/>
    <s v="SV015801"/>
    <x v="13"/>
    <n v="101"/>
    <x v="0"/>
    <n v="99.99"/>
  </r>
  <r>
    <x v="23"/>
    <s v="SV007401"/>
    <x v="3"/>
    <n v="201"/>
    <x v="1"/>
    <n v="201"/>
  </r>
  <r>
    <x v="24"/>
    <s v="SV009001"/>
    <x v="3"/>
    <n v="201"/>
    <x v="0"/>
    <n v="198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74D1D-25FC-484A-8BC5-832FA183EA3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8" firstHeaderRow="1" firstDataRow="1" firstDataCol="1"/>
  <pivotFields count="6">
    <pivotField showAll="0">
      <items count="26">
        <item x="12"/>
        <item x="4"/>
        <item x="5"/>
        <item x="19"/>
        <item x="7"/>
        <item x="1"/>
        <item x="13"/>
        <item x="10"/>
        <item x="2"/>
        <item x="9"/>
        <item x="22"/>
        <item x="21"/>
        <item x="20"/>
        <item x="0"/>
        <item x="17"/>
        <item x="16"/>
        <item x="14"/>
        <item x="11"/>
        <item x="15"/>
        <item x="6"/>
        <item x="18"/>
        <item x="3"/>
        <item x="24"/>
        <item x="23"/>
        <item x="8"/>
        <item t="default"/>
      </items>
    </pivotField>
    <pivotField showAll="0"/>
    <pivotField axis="axisRow" showAll="0">
      <items count="15">
        <item x="0"/>
        <item x="1"/>
        <item x="2"/>
        <item x="13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4" showAll="0"/>
    <pivotField showAll="0">
      <items count="3">
        <item x="1"/>
        <item x="0"/>
        <item t="default"/>
      </items>
    </pivotField>
    <pivotField numFmtId="164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PRECIO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8058-55FE-46BA-BB90-A34A480F555F}">
  <sheetPr codeName="Hoja8"/>
  <dimension ref="A3:B18"/>
  <sheetViews>
    <sheetView tabSelected="1" topLeftCell="B1" workbookViewId="0">
      <selection activeCell="K8" sqref="K8"/>
    </sheetView>
  </sheetViews>
  <sheetFormatPr defaultColWidth="11.42578125" defaultRowHeight="15" x14ac:dyDescent="0.25"/>
  <cols>
    <col min="1" max="1" width="37" bestFit="1" customWidth="1"/>
    <col min="2" max="2" width="16.28515625" bestFit="1" customWidth="1"/>
    <col min="3" max="3" width="11.140625" bestFit="1" customWidth="1"/>
    <col min="4" max="4" width="12.5703125" bestFit="1" customWidth="1"/>
  </cols>
  <sheetData>
    <row r="3" spans="1:2" x14ac:dyDescent="0.25">
      <c r="A3" s="7" t="s">
        <v>72</v>
      </c>
      <c r="B3" t="s">
        <v>73</v>
      </c>
    </row>
    <row r="4" spans="1:2" x14ac:dyDescent="0.25">
      <c r="A4" s="6" t="s">
        <v>58</v>
      </c>
      <c r="B4">
        <v>504</v>
      </c>
    </row>
    <row r="5" spans="1:2" x14ac:dyDescent="0.25">
      <c r="A5" s="6" t="s">
        <v>59</v>
      </c>
      <c r="B5">
        <v>736</v>
      </c>
    </row>
    <row r="6" spans="1:2" x14ac:dyDescent="0.25">
      <c r="A6" s="6" t="s">
        <v>60</v>
      </c>
      <c r="B6">
        <v>146</v>
      </c>
    </row>
    <row r="7" spans="1:2" x14ac:dyDescent="0.25">
      <c r="A7" s="6" t="s">
        <v>71</v>
      </c>
      <c r="B7">
        <v>202</v>
      </c>
    </row>
    <row r="8" spans="1:2" x14ac:dyDescent="0.25">
      <c r="A8" s="6" t="s">
        <v>61</v>
      </c>
      <c r="B8">
        <v>603</v>
      </c>
    </row>
    <row r="9" spans="1:2" x14ac:dyDescent="0.25">
      <c r="A9" s="6" t="s">
        <v>62</v>
      </c>
      <c r="B9">
        <v>396</v>
      </c>
    </row>
    <row r="10" spans="1:2" x14ac:dyDescent="0.25">
      <c r="A10" s="6" t="s">
        <v>63</v>
      </c>
      <c r="B10">
        <v>192</v>
      </c>
    </row>
    <row r="11" spans="1:2" x14ac:dyDescent="0.25">
      <c r="A11" s="6" t="s">
        <v>64</v>
      </c>
      <c r="B11">
        <v>195</v>
      </c>
    </row>
    <row r="12" spans="1:2" x14ac:dyDescent="0.25">
      <c r="A12" s="6" t="s">
        <v>65</v>
      </c>
      <c r="B12">
        <v>808</v>
      </c>
    </row>
    <row r="13" spans="1:2" x14ac:dyDescent="0.25">
      <c r="A13" s="6" t="s">
        <v>66</v>
      </c>
      <c r="B13">
        <v>597</v>
      </c>
    </row>
    <row r="14" spans="1:2" x14ac:dyDescent="0.25">
      <c r="A14" s="6" t="s">
        <v>67</v>
      </c>
      <c r="B14">
        <v>340</v>
      </c>
    </row>
    <row r="15" spans="1:2" x14ac:dyDescent="0.25">
      <c r="A15" s="6" t="s">
        <v>68</v>
      </c>
      <c r="B15">
        <v>388</v>
      </c>
    </row>
    <row r="16" spans="1:2" x14ac:dyDescent="0.25">
      <c r="A16" s="6" t="s">
        <v>69</v>
      </c>
      <c r="B16">
        <v>214</v>
      </c>
    </row>
    <row r="17" spans="1:2" x14ac:dyDescent="0.25">
      <c r="A17" s="6" t="s">
        <v>70</v>
      </c>
      <c r="B17">
        <v>217</v>
      </c>
    </row>
    <row r="18" spans="1:2" x14ac:dyDescent="0.25">
      <c r="A18" s="6" t="s">
        <v>74</v>
      </c>
      <c r="B18">
        <v>5538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5C80-B1C6-42BB-87B2-039BD8E11EFE}">
  <sheetPr codeName="Hoja9"/>
  <dimension ref="A1:F25"/>
  <sheetViews>
    <sheetView workbookViewId="0">
      <selection activeCell="F9" sqref="F9"/>
    </sheetView>
  </sheetViews>
  <sheetFormatPr defaultColWidth="11.42578125" defaultRowHeight="15" x14ac:dyDescent="0.25"/>
  <sheetData>
    <row r="1" spans="1:6" ht="21" x14ac:dyDescent="0.25">
      <c r="A1" s="10" t="s">
        <v>26</v>
      </c>
      <c r="B1" s="10"/>
      <c r="C1" s="10"/>
      <c r="D1" s="10"/>
      <c r="E1" s="10"/>
      <c r="F1" s="10"/>
    </row>
    <row r="3" spans="1:6" x14ac:dyDescent="0.2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x14ac:dyDescent="0.25">
      <c r="A4" t="s">
        <v>34</v>
      </c>
      <c r="B4" t="s">
        <v>35</v>
      </c>
      <c r="C4">
        <v>79</v>
      </c>
      <c r="D4">
        <v>46</v>
      </c>
      <c r="E4">
        <v>59</v>
      </c>
      <c r="F4">
        <v>72</v>
      </c>
    </row>
    <row r="5" spans="1:6" x14ac:dyDescent="0.25">
      <c r="A5" t="s">
        <v>41</v>
      </c>
      <c r="B5" t="s">
        <v>35</v>
      </c>
      <c r="C5">
        <v>69</v>
      </c>
      <c r="D5">
        <v>57</v>
      </c>
      <c r="E5">
        <v>69</v>
      </c>
      <c r="F5">
        <v>88</v>
      </c>
    </row>
    <row r="6" spans="1:6" x14ac:dyDescent="0.25">
      <c r="A6" t="s">
        <v>44</v>
      </c>
      <c r="B6" t="s">
        <v>35</v>
      </c>
      <c r="C6">
        <v>66</v>
      </c>
      <c r="D6">
        <v>61</v>
      </c>
      <c r="E6">
        <v>69</v>
      </c>
      <c r="F6">
        <v>75</v>
      </c>
    </row>
    <row r="7" spans="1:6" x14ac:dyDescent="0.25">
      <c r="A7" t="s">
        <v>45</v>
      </c>
      <c r="B7" t="s">
        <v>35</v>
      </c>
      <c r="C7">
        <v>82</v>
      </c>
      <c r="D7">
        <v>71</v>
      </c>
      <c r="E7">
        <v>69</v>
      </c>
      <c r="F7">
        <v>86</v>
      </c>
    </row>
    <row r="8" spans="1:6" x14ac:dyDescent="0.25">
      <c r="A8" t="s">
        <v>46</v>
      </c>
      <c r="B8" t="s">
        <v>35</v>
      </c>
      <c r="C8">
        <v>65</v>
      </c>
      <c r="D8">
        <v>99</v>
      </c>
      <c r="E8">
        <v>58</v>
      </c>
      <c r="F8">
        <v>85</v>
      </c>
    </row>
    <row r="9" spans="1:6" x14ac:dyDescent="0.25">
      <c r="A9" t="s">
        <v>47</v>
      </c>
      <c r="B9" t="s">
        <v>35</v>
      </c>
      <c r="C9">
        <v>82</v>
      </c>
      <c r="D9">
        <v>64</v>
      </c>
      <c r="E9">
        <v>95</v>
      </c>
      <c r="F9">
        <v>84</v>
      </c>
    </row>
    <row r="10" spans="1:6" x14ac:dyDescent="0.25">
      <c r="A10" t="s">
        <v>51</v>
      </c>
      <c r="B10" t="s">
        <v>35</v>
      </c>
      <c r="C10">
        <v>86</v>
      </c>
      <c r="D10">
        <v>83</v>
      </c>
      <c r="E10">
        <v>54</v>
      </c>
      <c r="F10">
        <v>81</v>
      </c>
    </row>
    <row r="11" spans="1:6" x14ac:dyDescent="0.25">
      <c r="A11" t="s">
        <v>52</v>
      </c>
      <c r="B11" t="s">
        <v>35</v>
      </c>
      <c r="C11">
        <v>82</v>
      </c>
      <c r="D11">
        <v>98</v>
      </c>
      <c r="E11">
        <v>81</v>
      </c>
      <c r="F11">
        <v>85</v>
      </c>
    </row>
    <row r="12" spans="1:6" x14ac:dyDescent="0.25">
      <c r="A12" t="s">
        <v>55</v>
      </c>
      <c r="B12" t="s">
        <v>35</v>
      </c>
      <c r="C12">
        <v>94</v>
      </c>
      <c r="D12">
        <v>77</v>
      </c>
      <c r="E12">
        <v>84</v>
      </c>
      <c r="F12">
        <v>68</v>
      </c>
    </row>
    <row r="13" spans="1:6" x14ac:dyDescent="0.25">
      <c r="A13" t="s">
        <v>57</v>
      </c>
      <c r="B13" t="s">
        <v>35</v>
      </c>
      <c r="C13">
        <v>62</v>
      </c>
      <c r="D13">
        <v>95</v>
      </c>
      <c r="E13">
        <v>71</v>
      </c>
      <c r="F13">
        <v>66</v>
      </c>
    </row>
    <row r="14" spans="1:6" x14ac:dyDescent="0.25">
      <c r="A14" t="s">
        <v>36</v>
      </c>
      <c r="B14" t="s">
        <v>37</v>
      </c>
      <c r="C14">
        <v>76</v>
      </c>
      <c r="D14">
        <v>86</v>
      </c>
      <c r="E14">
        <v>62</v>
      </c>
      <c r="F14">
        <v>69</v>
      </c>
    </row>
    <row r="15" spans="1:6" x14ac:dyDescent="0.25">
      <c r="A15" t="s">
        <v>38</v>
      </c>
      <c r="B15" t="s">
        <v>37</v>
      </c>
      <c r="C15">
        <v>41</v>
      </c>
      <c r="D15">
        <v>74</v>
      </c>
      <c r="E15">
        <v>41</v>
      </c>
      <c r="F15">
        <v>84</v>
      </c>
    </row>
    <row r="16" spans="1:6" x14ac:dyDescent="0.25">
      <c r="A16" t="s">
        <v>39</v>
      </c>
      <c r="B16" t="s">
        <v>37</v>
      </c>
      <c r="C16">
        <v>57</v>
      </c>
      <c r="D16">
        <v>85</v>
      </c>
      <c r="E16">
        <v>62</v>
      </c>
      <c r="F16">
        <v>63</v>
      </c>
    </row>
    <row r="17" spans="1:6" x14ac:dyDescent="0.25">
      <c r="A17" t="s">
        <v>40</v>
      </c>
      <c r="B17" t="s">
        <v>37</v>
      </c>
      <c r="C17">
        <v>59</v>
      </c>
      <c r="D17">
        <v>62</v>
      </c>
      <c r="E17">
        <v>67</v>
      </c>
      <c r="F17">
        <v>81</v>
      </c>
    </row>
    <row r="18" spans="1:6" x14ac:dyDescent="0.25">
      <c r="A18" t="s">
        <v>42</v>
      </c>
      <c r="B18" t="s">
        <v>37</v>
      </c>
      <c r="C18">
        <v>91</v>
      </c>
      <c r="D18">
        <v>74</v>
      </c>
      <c r="E18">
        <v>84</v>
      </c>
      <c r="F18">
        <v>73</v>
      </c>
    </row>
    <row r="19" spans="1:6" x14ac:dyDescent="0.25">
      <c r="A19" t="s">
        <v>43</v>
      </c>
      <c r="B19" t="s">
        <v>37</v>
      </c>
      <c r="C19">
        <v>61</v>
      </c>
      <c r="D19">
        <v>76</v>
      </c>
      <c r="E19">
        <v>69</v>
      </c>
      <c r="F19">
        <v>73</v>
      </c>
    </row>
    <row r="20" spans="1:6" x14ac:dyDescent="0.25">
      <c r="A20" t="s">
        <v>48</v>
      </c>
      <c r="B20" t="s">
        <v>37</v>
      </c>
      <c r="C20">
        <v>61</v>
      </c>
      <c r="D20">
        <v>64</v>
      </c>
      <c r="E20">
        <v>56</v>
      </c>
      <c r="F20">
        <v>70</v>
      </c>
    </row>
    <row r="21" spans="1:6" x14ac:dyDescent="0.25">
      <c r="A21" t="s">
        <v>49</v>
      </c>
      <c r="B21" t="s">
        <v>37</v>
      </c>
      <c r="C21">
        <v>62</v>
      </c>
      <c r="D21">
        <v>50</v>
      </c>
      <c r="E21">
        <v>62</v>
      </c>
      <c r="F21">
        <v>78</v>
      </c>
    </row>
    <row r="22" spans="1:6" x14ac:dyDescent="0.25">
      <c r="A22" t="s">
        <v>50</v>
      </c>
      <c r="B22" t="s">
        <v>37</v>
      </c>
      <c r="C22">
        <v>63</v>
      </c>
      <c r="D22">
        <v>84</v>
      </c>
      <c r="E22">
        <v>89</v>
      </c>
      <c r="F22">
        <v>81</v>
      </c>
    </row>
    <row r="23" spans="1:6" x14ac:dyDescent="0.25">
      <c r="A23" t="s">
        <v>53</v>
      </c>
      <c r="B23" t="s">
        <v>37</v>
      </c>
      <c r="C23">
        <v>60</v>
      </c>
      <c r="D23">
        <v>70</v>
      </c>
      <c r="E23">
        <v>81</v>
      </c>
      <c r="F23">
        <v>66</v>
      </c>
    </row>
    <row r="24" spans="1:6" x14ac:dyDescent="0.25">
      <c r="A24" t="s">
        <v>54</v>
      </c>
      <c r="B24" t="s">
        <v>37</v>
      </c>
      <c r="C24">
        <v>62</v>
      </c>
      <c r="D24">
        <v>87</v>
      </c>
      <c r="E24">
        <v>69</v>
      </c>
      <c r="F24">
        <v>67</v>
      </c>
    </row>
    <row r="25" spans="1:6" x14ac:dyDescent="0.25">
      <c r="A25" t="s">
        <v>56</v>
      </c>
      <c r="B25" t="s">
        <v>37</v>
      </c>
      <c r="C25">
        <v>58</v>
      </c>
      <c r="D25">
        <v>75</v>
      </c>
      <c r="E25">
        <v>68</v>
      </c>
      <c r="F25">
        <v>69</v>
      </c>
    </row>
  </sheetData>
  <sortState xmlns:xlrd2="http://schemas.microsoft.com/office/spreadsheetml/2017/richdata2" ref="A4:F25">
    <sortCondition ref="B4:B25"/>
  </sortState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A3AE-05C0-422B-AE37-BA2A64DF8E79}">
  <sheetPr codeName="Hoja10"/>
  <dimension ref="A1:G25"/>
  <sheetViews>
    <sheetView workbookViewId="0">
      <selection activeCell="F9" sqref="F9"/>
    </sheetView>
  </sheetViews>
  <sheetFormatPr defaultColWidth="11.42578125" defaultRowHeight="15" x14ac:dyDescent="0.25"/>
  <sheetData>
    <row r="1" spans="1:7" ht="21" x14ac:dyDescent="0.25">
      <c r="A1" s="10" t="s">
        <v>26</v>
      </c>
      <c r="B1" s="10"/>
      <c r="C1" s="10"/>
      <c r="D1" s="10"/>
      <c r="E1" s="10"/>
      <c r="F1" s="10"/>
      <c r="G1" s="10"/>
    </row>
    <row r="3" spans="1:7" x14ac:dyDescent="0.2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8" t="s">
        <v>33</v>
      </c>
    </row>
    <row r="4" spans="1:7" x14ac:dyDescent="0.25">
      <c r="A4" t="s">
        <v>34</v>
      </c>
      <c r="B4" t="s">
        <v>35</v>
      </c>
      <c r="C4">
        <v>79</v>
      </c>
      <c r="D4">
        <v>46</v>
      </c>
      <c r="E4">
        <v>59</v>
      </c>
      <c r="F4">
        <v>72</v>
      </c>
      <c r="G4">
        <v>79</v>
      </c>
    </row>
    <row r="5" spans="1:7" x14ac:dyDescent="0.25">
      <c r="A5" t="s">
        <v>36</v>
      </c>
      <c r="B5" t="s">
        <v>37</v>
      </c>
      <c r="C5">
        <v>76</v>
      </c>
      <c r="D5">
        <v>86</v>
      </c>
      <c r="E5">
        <v>62</v>
      </c>
      <c r="F5">
        <v>69</v>
      </c>
      <c r="G5">
        <v>86</v>
      </c>
    </row>
    <row r="6" spans="1:7" x14ac:dyDescent="0.25">
      <c r="A6" t="s">
        <v>38</v>
      </c>
      <c r="B6" t="s">
        <v>37</v>
      </c>
      <c r="C6">
        <v>41</v>
      </c>
      <c r="D6">
        <v>74</v>
      </c>
      <c r="E6">
        <v>41</v>
      </c>
      <c r="F6">
        <v>84</v>
      </c>
      <c r="G6">
        <v>84</v>
      </c>
    </row>
    <row r="7" spans="1:7" x14ac:dyDescent="0.25">
      <c r="A7" t="s">
        <v>39</v>
      </c>
      <c r="B7" t="s">
        <v>37</v>
      </c>
      <c r="C7">
        <v>57</v>
      </c>
      <c r="D7">
        <v>85</v>
      </c>
      <c r="E7">
        <v>62</v>
      </c>
      <c r="F7">
        <v>63</v>
      </c>
      <c r="G7">
        <v>85</v>
      </c>
    </row>
    <row r="8" spans="1:7" x14ac:dyDescent="0.25">
      <c r="A8" t="s">
        <v>40</v>
      </c>
      <c r="B8" t="s">
        <v>37</v>
      </c>
      <c r="C8">
        <v>59</v>
      </c>
      <c r="D8">
        <v>62</v>
      </c>
      <c r="E8">
        <v>67</v>
      </c>
      <c r="F8">
        <v>81</v>
      </c>
      <c r="G8">
        <v>81</v>
      </c>
    </row>
    <row r="9" spans="1:7" x14ac:dyDescent="0.25">
      <c r="A9" t="s">
        <v>41</v>
      </c>
      <c r="B9" t="s">
        <v>35</v>
      </c>
      <c r="C9">
        <v>69</v>
      </c>
      <c r="D9">
        <v>57</v>
      </c>
      <c r="E9">
        <v>69</v>
      </c>
      <c r="F9">
        <v>88</v>
      </c>
      <c r="G9">
        <v>88</v>
      </c>
    </row>
    <row r="10" spans="1:7" x14ac:dyDescent="0.25">
      <c r="A10" t="s">
        <v>42</v>
      </c>
      <c r="B10" t="s">
        <v>37</v>
      </c>
      <c r="C10">
        <v>91</v>
      </c>
      <c r="D10">
        <v>74</v>
      </c>
      <c r="E10">
        <v>84</v>
      </c>
      <c r="F10">
        <v>73</v>
      </c>
      <c r="G10">
        <v>91</v>
      </c>
    </row>
    <row r="11" spans="1:7" x14ac:dyDescent="0.25">
      <c r="A11" t="s">
        <v>43</v>
      </c>
      <c r="B11" t="s">
        <v>37</v>
      </c>
      <c r="C11">
        <v>61</v>
      </c>
      <c r="D11">
        <v>76</v>
      </c>
      <c r="E11">
        <v>69</v>
      </c>
      <c r="F11">
        <v>73</v>
      </c>
      <c r="G11">
        <v>73</v>
      </c>
    </row>
    <row r="12" spans="1:7" x14ac:dyDescent="0.25">
      <c r="A12" t="s">
        <v>44</v>
      </c>
      <c r="B12" t="s">
        <v>35</v>
      </c>
      <c r="C12">
        <v>66</v>
      </c>
      <c r="D12">
        <v>61</v>
      </c>
      <c r="E12">
        <v>69</v>
      </c>
      <c r="F12">
        <v>75</v>
      </c>
      <c r="G12">
        <v>86</v>
      </c>
    </row>
    <row r="13" spans="1:7" x14ac:dyDescent="0.25">
      <c r="A13" t="s">
        <v>45</v>
      </c>
      <c r="B13" t="s">
        <v>35</v>
      </c>
      <c r="C13">
        <v>82</v>
      </c>
      <c r="D13">
        <v>71</v>
      </c>
      <c r="E13">
        <v>69</v>
      </c>
      <c r="F13">
        <v>86</v>
      </c>
      <c r="G13">
        <v>99</v>
      </c>
    </row>
    <row r="14" spans="1:7" x14ac:dyDescent="0.25">
      <c r="A14" t="s">
        <v>46</v>
      </c>
      <c r="B14" t="s">
        <v>35</v>
      </c>
      <c r="C14">
        <v>65</v>
      </c>
      <c r="D14">
        <v>99</v>
      </c>
      <c r="E14">
        <v>58</v>
      </c>
      <c r="F14">
        <v>85</v>
      </c>
      <c r="G14">
        <v>70</v>
      </c>
    </row>
    <row r="15" spans="1:7" x14ac:dyDescent="0.25">
      <c r="A15" t="s">
        <v>47</v>
      </c>
      <c r="B15" t="s">
        <v>35</v>
      </c>
      <c r="C15">
        <v>82</v>
      </c>
      <c r="D15">
        <v>64</v>
      </c>
      <c r="E15">
        <v>95</v>
      </c>
      <c r="F15">
        <v>84</v>
      </c>
      <c r="G15">
        <v>82</v>
      </c>
    </row>
    <row r="16" spans="1:7" x14ac:dyDescent="0.25">
      <c r="A16" t="s">
        <v>48</v>
      </c>
      <c r="B16" t="s">
        <v>37</v>
      </c>
      <c r="C16">
        <v>61</v>
      </c>
      <c r="D16">
        <v>64</v>
      </c>
      <c r="E16">
        <v>56</v>
      </c>
      <c r="F16">
        <v>70</v>
      </c>
      <c r="G16">
        <v>83</v>
      </c>
    </row>
    <row r="17" spans="1:7" x14ac:dyDescent="0.25">
      <c r="A17" t="s">
        <v>49</v>
      </c>
      <c r="B17" t="s">
        <v>37</v>
      </c>
      <c r="C17">
        <v>62</v>
      </c>
      <c r="D17">
        <v>50</v>
      </c>
      <c r="E17">
        <v>62</v>
      </c>
      <c r="F17">
        <v>78</v>
      </c>
      <c r="G17">
        <v>89</v>
      </c>
    </row>
    <row r="18" spans="1:7" x14ac:dyDescent="0.25">
      <c r="A18" t="s">
        <v>50</v>
      </c>
      <c r="B18" t="s">
        <v>37</v>
      </c>
      <c r="C18">
        <v>63</v>
      </c>
      <c r="D18">
        <v>84</v>
      </c>
      <c r="E18">
        <v>89</v>
      </c>
      <c r="F18">
        <v>81</v>
      </c>
      <c r="G18">
        <v>93</v>
      </c>
    </row>
    <row r="19" spans="1:7" x14ac:dyDescent="0.25">
      <c r="A19" t="s">
        <v>51</v>
      </c>
      <c r="B19" t="s">
        <v>35</v>
      </c>
      <c r="C19">
        <v>86</v>
      </c>
      <c r="D19">
        <v>83</v>
      </c>
      <c r="E19">
        <v>54</v>
      </c>
      <c r="F19">
        <v>81</v>
      </c>
      <c r="G19">
        <v>89</v>
      </c>
    </row>
    <row r="20" spans="1:7" x14ac:dyDescent="0.25">
      <c r="A20" t="s">
        <v>52</v>
      </c>
      <c r="B20" t="s">
        <v>35</v>
      </c>
      <c r="C20">
        <v>82</v>
      </c>
      <c r="D20">
        <v>98</v>
      </c>
      <c r="E20">
        <v>81</v>
      </c>
      <c r="F20">
        <v>85</v>
      </c>
      <c r="G20">
        <v>86</v>
      </c>
    </row>
    <row r="21" spans="1:7" x14ac:dyDescent="0.25">
      <c r="A21" t="s">
        <v>53</v>
      </c>
      <c r="B21" t="s">
        <v>37</v>
      </c>
      <c r="C21">
        <v>60</v>
      </c>
      <c r="D21">
        <v>70</v>
      </c>
      <c r="E21">
        <v>81</v>
      </c>
      <c r="F21">
        <v>66</v>
      </c>
      <c r="G21">
        <v>98</v>
      </c>
    </row>
    <row r="22" spans="1:7" x14ac:dyDescent="0.25">
      <c r="A22" t="s">
        <v>54</v>
      </c>
      <c r="B22" t="s">
        <v>37</v>
      </c>
      <c r="C22">
        <v>62</v>
      </c>
      <c r="D22">
        <v>87</v>
      </c>
      <c r="E22">
        <v>69</v>
      </c>
      <c r="F22">
        <v>67</v>
      </c>
      <c r="G22">
        <v>70</v>
      </c>
    </row>
    <row r="23" spans="1:7" x14ac:dyDescent="0.25">
      <c r="A23" t="s">
        <v>55</v>
      </c>
      <c r="B23" t="s">
        <v>35</v>
      </c>
      <c r="C23">
        <v>94</v>
      </c>
      <c r="D23">
        <v>77</v>
      </c>
      <c r="E23">
        <v>84</v>
      </c>
      <c r="F23">
        <v>68</v>
      </c>
      <c r="G23">
        <v>94</v>
      </c>
    </row>
    <row r="24" spans="1:7" x14ac:dyDescent="0.25">
      <c r="A24" t="s">
        <v>56</v>
      </c>
      <c r="B24" t="s">
        <v>37</v>
      </c>
      <c r="C24">
        <v>58</v>
      </c>
      <c r="D24">
        <v>75</v>
      </c>
      <c r="E24">
        <v>68</v>
      </c>
      <c r="F24">
        <v>69</v>
      </c>
      <c r="G24">
        <v>84</v>
      </c>
    </row>
    <row r="25" spans="1:7" x14ac:dyDescent="0.25">
      <c r="A25" t="s">
        <v>57</v>
      </c>
      <c r="B25" t="s">
        <v>35</v>
      </c>
      <c r="C25">
        <v>62</v>
      </c>
      <c r="D25">
        <v>95</v>
      </c>
      <c r="E25">
        <v>71</v>
      </c>
      <c r="F25">
        <v>66</v>
      </c>
      <c r="G25">
        <v>74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E423-B98D-4B95-8EBF-6697B4ABBDBF}">
  <sheetPr codeName="Hoja3"/>
  <dimension ref="A1:G25"/>
  <sheetViews>
    <sheetView workbookViewId="0">
      <selection activeCell="F9" sqref="F9"/>
    </sheetView>
  </sheetViews>
  <sheetFormatPr defaultColWidth="11.42578125" defaultRowHeight="15" x14ac:dyDescent="0.25"/>
  <cols>
    <col min="1" max="1" width="17.85546875" customWidth="1"/>
    <col min="7" max="7" width="13.28515625" customWidth="1"/>
  </cols>
  <sheetData>
    <row r="1" spans="1:7" ht="21.75" thickBot="1" x14ac:dyDescent="0.4">
      <c r="A1" s="4" t="s">
        <v>26</v>
      </c>
    </row>
    <row r="3" spans="1:7" x14ac:dyDescent="0.2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</row>
    <row r="4" spans="1:7" x14ac:dyDescent="0.25">
      <c r="A4" t="s">
        <v>34</v>
      </c>
      <c r="B4" t="s">
        <v>35</v>
      </c>
      <c r="C4">
        <v>79</v>
      </c>
      <c r="D4">
        <v>46</v>
      </c>
      <c r="E4">
        <v>59</v>
      </c>
      <c r="F4">
        <v>72</v>
      </c>
      <c r="G4" s="9">
        <f>AVERAGE(C4:F4)</f>
        <v>64</v>
      </c>
    </row>
    <row r="5" spans="1:7" x14ac:dyDescent="0.25">
      <c r="A5" t="s">
        <v>36</v>
      </c>
      <c r="B5" t="s">
        <v>37</v>
      </c>
      <c r="C5">
        <v>76</v>
      </c>
      <c r="D5">
        <v>86</v>
      </c>
      <c r="E5">
        <v>62</v>
      </c>
      <c r="F5">
        <v>69</v>
      </c>
      <c r="G5" s="9">
        <f t="shared" ref="G5:G25" si="0">AVERAGE(C5:F5)</f>
        <v>73.25</v>
      </c>
    </row>
    <row r="6" spans="1:7" x14ac:dyDescent="0.25">
      <c r="A6" t="s">
        <v>38</v>
      </c>
      <c r="B6" t="s">
        <v>37</v>
      </c>
      <c r="C6">
        <v>41</v>
      </c>
      <c r="D6">
        <v>72</v>
      </c>
      <c r="E6">
        <v>41</v>
      </c>
      <c r="F6">
        <v>84</v>
      </c>
      <c r="G6" s="9">
        <f t="shared" si="0"/>
        <v>59.5</v>
      </c>
    </row>
    <row r="7" spans="1:7" x14ac:dyDescent="0.25">
      <c r="A7" t="s">
        <v>39</v>
      </c>
      <c r="B7" t="s">
        <v>37</v>
      </c>
      <c r="C7">
        <v>57</v>
      </c>
      <c r="D7">
        <v>85</v>
      </c>
      <c r="E7">
        <v>62</v>
      </c>
      <c r="F7">
        <v>63</v>
      </c>
      <c r="G7" s="9">
        <f t="shared" si="0"/>
        <v>66.75</v>
      </c>
    </row>
    <row r="8" spans="1:7" x14ac:dyDescent="0.25">
      <c r="A8" t="s">
        <v>40</v>
      </c>
      <c r="B8" t="s">
        <v>37</v>
      </c>
      <c r="C8">
        <v>59</v>
      </c>
      <c r="D8">
        <v>62</v>
      </c>
      <c r="E8">
        <v>67</v>
      </c>
      <c r="F8">
        <v>81</v>
      </c>
      <c r="G8" s="9">
        <f t="shared" si="0"/>
        <v>67.25</v>
      </c>
    </row>
    <row r="9" spans="1:7" x14ac:dyDescent="0.25">
      <c r="A9" t="s">
        <v>41</v>
      </c>
      <c r="B9" t="s">
        <v>35</v>
      </c>
      <c r="C9">
        <v>69</v>
      </c>
      <c r="D9">
        <v>57</v>
      </c>
      <c r="E9">
        <v>69</v>
      </c>
      <c r="F9">
        <v>88</v>
      </c>
      <c r="G9" s="9">
        <f t="shared" si="0"/>
        <v>70.75</v>
      </c>
    </row>
    <row r="10" spans="1:7" x14ac:dyDescent="0.25">
      <c r="A10" t="s">
        <v>42</v>
      </c>
      <c r="B10" t="s">
        <v>37</v>
      </c>
      <c r="C10">
        <v>91</v>
      </c>
      <c r="D10">
        <v>74</v>
      </c>
      <c r="E10">
        <v>84</v>
      </c>
      <c r="F10">
        <v>73</v>
      </c>
      <c r="G10" s="9">
        <f t="shared" si="0"/>
        <v>80.5</v>
      </c>
    </row>
    <row r="11" spans="1:7" x14ac:dyDescent="0.25">
      <c r="A11" t="s">
        <v>43</v>
      </c>
      <c r="B11" t="s">
        <v>37</v>
      </c>
      <c r="C11">
        <v>61</v>
      </c>
      <c r="D11">
        <v>76</v>
      </c>
      <c r="E11">
        <v>69</v>
      </c>
      <c r="F11">
        <v>73</v>
      </c>
      <c r="G11" s="9">
        <f t="shared" si="0"/>
        <v>69.75</v>
      </c>
    </row>
    <row r="12" spans="1:7" x14ac:dyDescent="0.25">
      <c r="A12" t="s">
        <v>44</v>
      </c>
      <c r="B12" t="s">
        <v>35</v>
      </c>
      <c r="C12">
        <v>66</v>
      </c>
      <c r="D12">
        <v>61</v>
      </c>
      <c r="E12">
        <v>69</v>
      </c>
      <c r="F12">
        <v>75</v>
      </c>
      <c r="G12" s="9">
        <f t="shared" si="0"/>
        <v>67.75</v>
      </c>
    </row>
    <row r="13" spans="1:7" x14ac:dyDescent="0.25">
      <c r="A13" t="s">
        <v>45</v>
      </c>
      <c r="B13" t="s">
        <v>35</v>
      </c>
      <c r="C13">
        <v>82</v>
      </c>
      <c r="D13">
        <v>71</v>
      </c>
      <c r="E13">
        <v>69</v>
      </c>
      <c r="F13">
        <v>86</v>
      </c>
      <c r="G13" s="9">
        <f t="shared" si="0"/>
        <v>77</v>
      </c>
    </row>
    <row r="14" spans="1:7" x14ac:dyDescent="0.25">
      <c r="A14" t="s">
        <v>46</v>
      </c>
      <c r="B14" t="s">
        <v>35</v>
      </c>
      <c r="C14">
        <v>65</v>
      </c>
      <c r="D14">
        <v>99</v>
      </c>
      <c r="E14">
        <v>58</v>
      </c>
      <c r="F14">
        <v>85</v>
      </c>
      <c r="G14" s="9">
        <f t="shared" si="0"/>
        <v>76.75</v>
      </c>
    </row>
    <row r="15" spans="1:7" x14ac:dyDescent="0.25">
      <c r="A15" t="s">
        <v>47</v>
      </c>
      <c r="B15" t="s">
        <v>35</v>
      </c>
      <c r="C15">
        <v>82</v>
      </c>
      <c r="D15">
        <v>64</v>
      </c>
      <c r="E15">
        <v>95</v>
      </c>
      <c r="F15">
        <v>84</v>
      </c>
      <c r="G15" s="9">
        <f t="shared" si="0"/>
        <v>81.25</v>
      </c>
    </row>
    <row r="16" spans="1:7" x14ac:dyDescent="0.25">
      <c r="A16" t="s">
        <v>48</v>
      </c>
      <c r="B16" t="s">
        <v>37</v>
      </c>
      <c r="C16">
        <v>59</v>
      </c>
      <c r="D16">
        <v>61</v>
      </c>
      <c r="E16">
        <v>54</v>
      </c>
      <c r="F16">
        <v>65</v>
      </c>
      <c r="G16" s="9">
        <f t="shared" si="0"/>
        <v>59.75</v>
      </c>
    </row>
    <row r="17" spans="1:7" x14ac:dyDescent="0.25">
      <c r="A17" t="s">
        <v>49</v>
      </c>
      <c r="B17" t="s">
        <v>37</v>
      </c>
      <c r="C17">
        <v>62</v>
      </c>
      <c r="D17">
        <v>50</v>
      </c>
      <c r="E17">
        <v>62</v>
      </c>
      <c r="F17">
        <v>78</v>
      </c>
      <c r="G17" s="9">
        <f t="shared" si="0"/>
        <v>63</v>
      </c>
    </row>
    <row r="18" spans="1:7" x14ac:dyDescent="0.25">
      <c r="A18" t="s">
        <v>50</v>
      </c>
      <c r="B18" t="s">
        <v>37</v>
      </c>
      <c r="C18">
        <v>63</v>
      </c>
      <c r="D18">
        <v>84</v>
      </c>
      <c r="E18">
        <v>89</v>
      </c>
      <c r="F18">
        <v>81</v>
      </c>
      <c r="G18" s="9">
        <f t="shared" si="0"/>
        <v>79.25</v>
      </c>
    </row>
    <row r="19" spans="1:7" x14ac:dyDescent="0.25">
      <c r="A19" t="s">
        <v>51</v>
      </c>
      <c r="B19" t="s">
        <v>35</v>
      </c>
      <c r="C19">
        <v>86</v>
      </c>
      <c r="D19">
        <v>83</v>
      </c>
      <c r="E19">
        <v>54</v>
      </c>
      <c r="F19">
        <v>81</v>
      </c>
      <c r="G19" s="9">
        <f t="shared" si="0"/>
        <v>76</v>
      </c>
    </row>
    <row r="20" spans="1:7" x14ac:dyDescent="0.25">
      <c r="A20" t="s">
        <v>52</v>
      </c>
      <c r="B20" t="s">
        <v>35</v>
      </c>
      <c r="C20">
        <v>82</v>
      </c>
      <c r="D20">
        <v>98</v>
      </c>
      <c r="E20">
        <v>81</v>
      </c>
      <c r="F20">
        <v>85</v>
      </c>
      <c r="G20" s="9">
        <f t="shared" si="0"/>
        <v>86.5</v>
      </c>
    </row>
    <row r="21" spans="1:7" x14ac:dyDescent="0.25">
      <c r="A21" t="s">
        <v>53</v>
      </c>
      <c r="B21" t="s">
        <v>37</v>
      </c>
      <c r="C21">
        <v>60</v>
      </c>
      <c r="D21">
        <v>70</v>
      </c>
      <c r="E21">
        <v>81</v>
      </c>
      <c r="F21">
        <v>66</v>
      </c>
      <c r="G21" s="9">
        <f t="shared" si="0"/>
        <v>69.25</v>
      </c>
    </row>
    <row r="22" spans="1:7" x14ac:dyDescent="0.25">
      <c r="A22" t="s">
        <v>54</v>
      </c>
      <c r="B22" t="s">
        <v>37</v>
      </c>
      <c r="C22">
        <v>62</v>
      </c>
      <c r="D22">
        <v>87</v>
      </c>
      <c r="E22">
        <v>69</v>
      </c>
      <c r="F22">
        <v>67</v>
      </c>
      <c r="G22" s="9">
        <f t="shared" si="0"/>
        <v>71.25</v>
      </c>
    </row>
    <row r="23" spans="1:7" x14ac:dyDescent="0.25">
      <c r="A23" t="s">
        <v>55</v>
      </c>
      <c r="B23" t="s">
        <v>35</v>
      </c>
      <c r="C23">
        <v>94</v>
      </c>
      <c r="D23">
        <v>77</v>
      </c>
      <c r="E23">
        <v>84</v>
      </c>
      <c r="F23">
        <v>68</v>
      </c>
      <c r="G23" s="9">
        <f t="shared" si="0"/>
        <v>80.75</v>
      </c>
    </row>
    <row r="24" spans="1:7" x14ac:dyDescent="0.25">
      <c r="A24" t="s">
        <v>56</v>
      </c>
      <c r="B24" t="s">
        <v>37</v>
      </c>
      <c r="C24">
        <v>58</v>
      </c>
      <c r="D24">
        <v>75</v>
      </c>
      <c r="E24">
        <v>68</v>
      </c>
      <c r="F24">
        <v>69</v>
      </c>
      <c r="G24" s="9">
        <f t="shared" si="0"/>
        <v>67.5</v>
      </c>
    </row>
    <row r="25" spans="1:7" x14ac:dyDescent="0.25">
      <c r="A25" t="s">
        <v>57</v>
      </c>
      <c r="B25" t="s">
        <v>35</v>
      </c>
      <c r="C25">
        <v>62</v>
      </c>
      <c r="D25">
        <v>95</v>
      </c>
      <c r="E25">
        <v>71</v>
      </c>
      <c r="F25">
        <v>66</v>
      </c>
      <c r="G25" s="9">
        <f t="shared" si="0"/>
        <v>73.5</v>
      </c>
    </row>
  </sheetData>
  <printOptions headings="1" gridLines="1"/>
  <pageMargins left="0.70866141732283472" right="0.70866141732283472" top="0.74803149606299213" bottom="0.74803149606299213" header="0.31496062992125984" footer="0.31496062992125984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9AE2-19F3-45A1-AD11-515119CC9C12}">
  <sheetPr codeName="Hoja11"/>
  <dimension ref="A3:F10"/>
  <sheetViews>
    <sheetView zoomScale="90" zoomScaleNormal="90" workbookViewId="0">
      <selection activeCell="I3" sqref="I3"/>
    </sheetView>
  </sheetViews>
  <sheetFormatPr defaultColWidth="11.42578125" defaultRowHeight="15" outlineLevelCol="1" x14ac:dyDescent="0.25"/>
  <cols>
    <col min="2" max="2" width="16.42578125" bestFit="1" customWidth="1"/>
    <col min="3" max="3" width="15.85546875" bestFit="1" customWidth="1" outlineLevel="1"/>
    <col min="4" max="4" width="15.42578125" bestFit="1" customWidth="1" outlineLevel="1"/>
    <col min="5" max="5" width="22.85546875" bestFit="1" customWidth="1" outlineLevel="1"/>
    <col min="6" max="6" width="22.140625" bestFit="1" customWidth="1"/>
  </cols>
  <sheetData>
    <row r="3" spans="1:6" ht="17.25" x14ac:dyDescent="0.3">
      <c r="A3" s="2" t="s">
        <v>0</v>
      </c>
      <c r="B3" s="2" t="s">
        <v>1</v>
      </c>
      <c r="C3" s="2" t="s">
        <v>2</v>
      </c>
      <c r="D3" s="2" t="s">
        <v>75</v>
      </c>
      <c r="E3" s="2" t="s">
        <v>3</v>
      </c>
      <c r="F3" s="2" t="s">
        <v>4</v>
      </c>
    </row>
    <row r="4" spans="1:6" x14ac:dyDescent="0.25">
      <c r="A4" s="1" t="s">
        <v>5</v>
      </c>
      <c r="B4" s="1" t="s">
        <v>12</v>
      </c>
      <c r="C4" s="1" t="s">
        <v>19</v>
      </c>
      <c r="D4" s="3">
        <v>225</v>
      </c>
      <c r="E4" s="1">
        <v>50</v>
      </c>
      <c r="F4" s="1">
        <v>95</v>
      </c>
    </row>
    <row r="5" spans="1:6" x14ac:dyDescent="0.25">
      <c r="A5" s="1" t="s">
        <v>6</v>
      </c>
      <c r="B5" s="1" t="s">
        <v>13</v>
      </c>
      <c r="C5" s="1" t="s">
        <v>20</v>
      </c>
      <c r="D5" s="3"/>
      <c r="E5" s="1">
        <v>80</v>
      </c>
      <c r="F5" s="1">
        <v>108</v>
      </c>
    </row>
    <row r="6" spans="1:6" x14ac:dyDescent="0.25">
      <c r="A6" s="1" t="s">
        <v>7</v>
      </c>
      <c r="B6" s="1" t="s">
        <v>14</v>
      </c>
      <c r="C6" s="1" t="s">
        <v>21</v>
      </c>
      <c r="D6" s="3">
        <v>145</v>
      </c>
      <c r="E6" s="1">
        <v>100</v>
      </c>
      <c r="F6" s="1">
        <v>120</v>
      </c>
    </row>
    <row r="7" spans="1:6" x14ac:dyDescent="0.25">
      <c r="A7" s="1" t="s">
        <v>8</v>
      </c>
      <c r="B7" s="1" t="s">
        <v>15</v>
      </c>
      <c r="C7" s="1" t="s">
        <v>22</v>
      </c>
      <c r="D7" s="3">
        <v>150</v>
      </c>
      <c r="E7" s="1">
        <v>125</v>
      </c>
      <c r="F7" s="1">
        <v>120</v>
      </c>
    </row>
    <row r="8" spans="1:6" x14ac:dyDescent="0.25">
      <c r="A8" s="1" t="s">
        <v>9</v>
      </c>
      <c r="B8" s="1" t="s">
        <v>17</v>
      </c>
      <c r="C8" s="1" t="s">
        <v>23</v>
      </c>
      <c r="D8" s="3"/>
      <c r="E8" s="1">
        <v>65</v>
      </c>
      <c r="F8" s="1">
        <v>80</v>
      </c>
    </row>
    <row r="9" spans="1:6" x14ac:dyDescent="0.25">
      <c r="A9" s="1" t="s">
        <v>10</v>
      </c>
      <c r="B9" s="1" t="s">
        <v>16</v>
      </c>
      <c r="C9" s="1" t="s">
        <v>24</v>
      </c>
      <c r="D9" s="3">
        <v>120</v>
      </c>
      <c r="E9" s="1">
        <v>150</v>
      </c>
      <c r="F9" s="1">
        <v>120</v>
      </c>
    </row>
    <row r="10" spans="1:6" x14ac:dyDescent="0.25">
      <c r="A10" s="1" t="s">
        <v>11</v>
      </c>
      <c r="B10" s="1" t="s">
        <v>18</v>
      </c>
      <c r="C10" s="1" t="s">
        <v>25</v>
      </c>
      <c r="D10" s="3"/>
      <c r="E10" s="1">
        <v>200</v>
      </c>
      <c r="F10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Analisis</vt:lpstr>
      <vt:lpstr>Notas</vt:lpstr>
      <vt:lpstr>Notas 2</vt:lpstr>
      <vt:lpstr>Result</vt:lpstr>
      <vt:lpstr>Desagrupar</vt:lpstr>
      <vt:lpstr>Result!Print_Titles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Irvin Pineda</cp:lastModifiedBy>
  <dcterms:created xsi:type="dcterms:W3CDTF">2024-06-21T15:19:51Z</dcterms:created>
  <dcterms:modified xsi:type="dcterms:W3CDTF">2026-01-26T00:37:07Z</dcterms:modified>
</cp:coreProperties>
</file>