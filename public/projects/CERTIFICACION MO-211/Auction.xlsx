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projects\CERTIFICACION MO-211\"/>
    </mc:Choice>
  </mc:AlternateContent>
  <xr:revisionPtr revIDLastSave="0" documentId="13_ncr:1_{1F3880ED-A6F5-4BEF-91D9-BC6C584D42E9}" xr6:coauthVersionLast="47" xr6:coauthVersionMax="47" xr10:uidLastSave="{00000000-0000-0000-0000-000000000000}"/>
  <bookViews>
    <workbookView xWindow="0" yWindow="390" windowWidth="20490" windowHeight="7785" activeTab="1" xr2:uid="{A70F1EB2-10DE-45BA-8267-D2C472CC5416}"/>
  </bookViews>
  <sheets>
    <sheet name="Auction" sheetId="1" r:id="rId1"/>
    <sheet name="Pric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</calcChain>
</file>

<file path=xl/sharedStrings.xml><?xml version="1.0" encoding="utf-8"?>
<sst xmlns="http://schemas.openxmlformats.org/spreadsheetml/2006/main" count="142" uniqueCount="44">
  <si>
    <t>Contoso, Ldt.</t>
  </si>
  <si>
    <t>Online Auction</t>
  </si>
  <si>
    <t>Item ID</t>
  </si>
  <si>
    <t>Item</t>
  </si>
  <si>
    <t>Category</t>
  </si>
  <si>
    <t>Bid</t>
  </si>
  <si>
    <t>Date</t>
  </si>
  <si>
    <t>Customer ID</t>
  </si>
  <si>
    <t>Diamond Earrings</t>
  </si>
  <si>
    <t>Antique Brass Lantern Clock</t>
  </si>
  <si>
    <t>Sapphire and Diamond Necklace</t>
  </si>
  <si>
    <t>Jewelry</t>
  </si>
  <si>
    <t>8/2/2026</t>
  </si>
  <si>
    <t>Clocks and Watches</t>
  </si>
  <si>
    <t>8/3/2026</t>
  </si>
  <si>
    <t>Pearl and Diamond Ring</t>
  </si>
  <si>
    <t>8/4/2026</t>
  </si>
  <si>
    <t>8/5/2026</t>
  </si>
  <si>
    <t>Pair of 17th Century Gold Candelabras</t>
  </si>
  <si>
    <t>Decoration</t>
  </si>
  <si>
    <t>19th Century Lacquer Commode</t>
  </si>
  <si>
    <t>Furniture</t>
  </si>
  <si>
    <t>8/6/2026</t>
  </si>
  <si>
    <t>Emerald Ring</t>
  </si>
  <si>
    <t>8/7/2026</t>
  </si>
  <si>
    <t>17th Century Mahogany Longcase Clock</t>
  </si>
  <si>
    <t>08/09/2026</t>
  </si>
  <si>
    <t>08/10/2026</t>
  </si>
  <si>
    <t>08/08/2026</t>
  </si>
  <si>
    <t>Lacquer Commode</t>
  </si>
  <si>
    <t>08/07/2026</t>
  </si>
  <si>
    <t>Mahogany Longcase Clock</t>
  </si>
  <si>
    <t>Gold Candelabras</t>
  </si>
  <si>
    <t>08/02/2026</t>
  </si>
  <si>
    <t>08/06/2026</t>
  </si>
  <si>
    <t>08/11/2026</t>
  </si>
  <si>
    <t>08/05/2026</t>
  </si>
  <si>
    <t>08/01/2026</t>
  </si>
  <si>
    <t>08/03/2026</t>
  </si>
  <si>
    <t>Quantity</t>
  </si>
  <si>
    <t>Cost</t>
  </si>
  <si>
    <t>Markup</t>
  </si>
  <si>
    <t>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</si>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</sst>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18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EF795738-CC17-40EB-9A38-0E676BDF0A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CA205-E73B-464B-928E-319140BB6831}" name="Table1" displayName="Table1" ref="A3:F45" totalsRowShown="0" headerRowDxfId="20" headerRowBorderDxfId="19" tableBorderDxfId="18" totalsRowBorderDxfId="17">
  <autoFilter ref="A3:F45" xr:uid="{3EECA205-E73B-464B-928E-319140BB6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A469B9-E923-4A1A-8982-263CB1ED8125}" name="Item ID" dataDxfId="16"/>
    <tableColumn id="2" xr3:uid="{C8FCF649-8A1E-4E50-9534-931814CAAE1D}" name="Item" dataDxfId="15"/>
    <tableColumn id="3" xr3:uid="{F07B9A95-DD03-4C9A-9258-01017FDE6805}" name="Category" dataDxfId="14"/>
    <tableColumn id="4" xr3:uid="{A6BAA2AD-E589-490B-8FD8-F6CEC09A0739}" name="Bid" dataDxfId="13"/>
    <tableColumn id="5" xr3:uid="{0FF71969-3E86-4B53-9F30-9DFCF818A287}" name="Date" dataDxfId="12"/>
    <tableColumn id="6" xr3:uid="{90D68812-6FE8-433B-A447-1D032C0E1966}" name="Customer ID" dataDxfId="1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3DFEE-CC22-4CD3-AE41-E014CC8216DA}" name="Table13" displayName="Table13" ref="A3:F11" totalsRowShown="0" headerRowDxfId="10" dataDxfId="8" headerRowBorderDxfId="9" tableBorderDxfId="7" totalsRowBorderDxfId="6">
  <autoFilter ref="A3:F11" xr:uid="{3B93DFEE-CC22-4CD3-AE41-E014CC8216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6266C5-3F26-44A5-9125-6145CF95C6F6}" name="Item ID" dataDxfId="5"/>
    <tableColumn id="2" xr3:uid="{911033E2-42DE-4F85-9531-D95C442F71BC}" name="Quantity" dataDxfId="4"/>
    <tableColumn id="3" xr3:uid="{F4598226-E393-4614-90BB-64998CD1E398}" name="Cost" dataDxfId="3"/>
    <tableColumn id="4" xr3:uid="{474E347C-F240-41B0-95B2-DFCDC464485F}" name="Markup" dataDxfId="2" dataCellStyle="Percent">
      <calculatedColumnFormula>Table13[[#This Row],[Profit]]/Table13[[#This Row],[Cost]]</calculatedColumnFormula>
    </tableColumn>
    <tableColumn id="5" xr3:uid="{0686A95A-354C-4F7A-B224-FB6FC2B752AE}" name="Price" dataDxfId="1"/>
    <tableColumn id="6" xr3:uid="{E4A72E95-7D4A-4985-83C9-41E4A516764A}" name="Profit" dataDxfId="0">
      <calculatedColumnFormula>Table13[[#This Row],[Cost]]*Table13[[#This Row],[Markup]]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422-2116-4BCB-886D-BC2A42A2ABE9}">
  <dimension ref="A1:F45"/>
  <sheetViews>
    <sheetView workbookViewId="0">
      <selection activeCell="D1" sqref="A1:XFD1048576"/>
    </sheetView>
  </sheetViews>
  <sheetFormatPr defaultRowHeight="15" x14ac:dyDescent="0.25"/>
  <cols>
    <col min="1" max="1" width="9.5703125" customWidth="1"/>
    <col min="2" max="3" width="31.42578125" customWidth="1"/>
    <col min="6" max="6" width="14.5703125" customWidth="1"/>
  </cols>
  <sheetData>
    <row r="1" spans="1:6" ht="23.25" x14ac:dyDescent="0.35">
      <c r="A1" s="33" t="s">
        <v>0</v>
      </c>
      <c r="B1" s="33"/>
    </row>
    <row r="2" spans="1:6" ht="15.75" x14ac:dyDescent="0.25">
      <c r="A2" s="34" t="s">
        <v>1</v>
      </c>
      <c r="B2" s="34"/>
    </row>
    <row r="3" spans="1:6" x14ac:dyDescent="0.25">
      <c r="A3" s="10" t="s">
        <v>2</v>
      </c>
      <c r="B3" s="11" t="s">
        <v>3</v>
      </c>
      <c r="C3" s="12" t="s">
        <v>4</v>
      </c>
      <c r="D3" s="3" t="s">
        <v>5</v>
      </c>
      <c r="E3" s="2" t="s">
        <v>6</v>
      </c>
      <c r="F3" s="4" t="s">
        <v>7</v>
      </c>
    </row>
    <row r="4" spans="1:6" x14ac:dyDescent="0.25">
      <c r="A4" s="13">
        <v>1001</v>
      </c>
      <c r="B4" s="1" t="s">
        <v>8</v>
      </c>
      <c r="C4" s="14" t="s">
        <v>11</v>
      </c>
      <c r="D4" s="5">
        <v>1250</v>
      </c>
      <c r="E4" s="1" t="s">
        <v>12</v>
      </c>
      <c r="F4" s="6">
        <v>3</v>
      </c>
    </row>
    <row r="5" spans="1:6" x14ac:dyDescent="0.25">
      <c r="A5" s="13">
        <v>1005</v>
      </c>
      <c r="B5" s="1" t="s">
        <v>9</v>
      </c>
      <c r="C5" s="14" t="s">
        <v>13</v>
      </c>
      <c r="D5" s="5">
        <v>775</v>
      </c>
      <c r="E5" s="1" t="s">
        <v>14</v>
      </c>
      <c r="F5" s="6">
        <v>4</v>
      </c>
    </row>
    <row r="6" spans="1:6" x14ac:dyDescent="0.25">
      <c r="A6" s="13">
        <v>1004</v>
      </c>
      <c r="B6" s="1" t="s">
        <v>15</v>
      </c>
      <c r="C6" s="14" t="s">
        <v>11</v>
      </c>
      <c r="D6" s="5">
        <v>1400</v>
      </c>
      <c r="E6" s="1" t="s">
        <v>16</v>
      </c>
      <c r="F6" s="6">
        <v>45</v>
      </c>
    </row>
    <row r="7" spans="1:6" x14ac:dyDescent="0.25">
      <c r="A7" s="13">
        <v>1003</v>
      </c>
      <c r="B7" s="1" t="s">
        <v>10</v>
      </c>
      <c r="C7" s="14" t="s">
        <v>11</v>
      </c>
      <c r="D7" s="5">
        <v>2255</v>
      </c>
      <c r="E7" s="1" t="s">
        <v>17</v>
      </c>
      <c r="F7" s="6">
        <v>28</v>
      </c>
    </row>
    <row r="8" spans="1:6" x14ac:dyDescent="0.25">
      <c r="A8" s="13">
        <v>1008</v>
      </c>
      <c r="B8" s="1" t="s">
        <v>18</v>
      </c>
      <c r="C8" s="14" t="s">
        <v>19</v>
      </c>
      <c r="D8" s="5">
        <v>585</v>
      </c>
      <c r="E8" s="1" t="s">
        <v>17</v>
      </c>
      <c r="F8" s="6">
        <v>8</v>
      </c>
    </row>
    <row r="9" spans="1:6" x14ac:dyDescent="0.25">
      <c r="A9" s="15">
        <v>1012</v>
      </c>
      <c r="B9" s="16" t="s">
        <v>20</v>
      </c>
      <c r="C9" s="17" t="s">
        <v>21</v>
      </c>
      <c r="D9" s="5">
        <v>640</v>
      </c>
      <c r="E9" s="1" t="s">
        <v>22</v>
      </c>
      <c r="F9" s="6">
        <v>48</v>
      </c>
    </row>
    <row r="10" spans="1:6" x14ac:dyDescent="0.25">
      <c r="A10" s="3">
        <v>1002</v>
      </c>
      <c r="B10" s="2" t="s">
        <v>23</v>
      </c>
      <c r="C10" s="2" t="s">
        <v>11</v>
      </c>
      <c r="D10" s="1">
        <v>2195</v>
      </c>
      <c r="E10" s="1" t="s">
        <v>24</v>
      </c>
      <c r="F10" s="6">
        <v>30</v>
      </c>
    </row>
    <row r="11" spans="1:6" x14ac:dyDescent="0.25">
      <c r="A11" s="5">
        <v>1011</v>
      </c>
      <c r="B11" s="1" t="s">
        <v>25</v>
      </c>
      <c r="C11" s="1" t="s">
        <v>13</v>
      </c>
      <c r="D11" s="1">
        <v>795</v>
      </c>
      <c r="E11" s="1" t="s">
        <v>24</v>
      </c>
      <c r="F11" s="6">
        <v>17</v>
      </c>
    </row>
    <row r="12" spans="1:6" x14ac:dyDescent="0.25">
      <c r="A12" s="5">
        <v>1012</v>
      </c>
      <c r="B12" s="1" t="s">
        <v>9</v>
      </c>
      <c r="C12" s="1" t="s">
        <v>13</v>
      </c>
      <c r="D12" s="1">
        <v>1989</v>
      </c>
      <c r="E12" s="1" t="s">
        <v>26</v>
      </c>
      <c r="F12" s="6">
        <v>6</v>
      </c>
    </row>
    <row r="13" spans="1:6" x14ac:dyDescent="0.25">
      <c r="A13" s="5">
        <v>1013</v>
      </c>
      <c r="B13" s="1" t="s">
        <v>9</v>
      </c>
      <c r="C13" s="1" t="s">
        <v>13</v>
      </c>
      <c r="D13" s="1">
        <v>948</v>
      </c>
      <c r="E13" s="1" t="s">
        <v>27</v>
      </c>
      <c r="F13" s="6">
        <v>19</v>
      </c>
    </row>
    <row r="14" spans="1:6" x14ac:dyDescent="0.25">
      <c r="A14" s="5">
        <v>1014</v>
      </c>
      <c r="B14" s="1" t="s">
        <v>10</v>
      </c>
      <c r="C14" s="1" t="s">
        <v>11</v>
      </c>
      <c r="D14" s="1">
        <v>1599</v>
      </c>
      <c r="E14" s="1" t="s">
        <v>28</v>
      </c>
      <c r="F14" s="6">
        <v>6</v>
      </c>
    </row>
    <row r="15" spans="1:6" x14ac:dyDescent="0.25">
      <c r="A15" s="5">
        <v>1015</v>
      </c>
      <c r="B15" s="1" t="s">
        <v>29</v>
      </c>
      <c r="C15" s="1" t="s">
        <v>21</v>
      </c>
      <c r="D15" s="1">
        <v>1227</v>
      </c>
      <c r="E15" s="1" t="s">
        <v>30</v>
      </c>
      <c r="F15" s="6">
        <v>3</v>
      </c>
    </row>
    <row r="16" spans="1:6" x14ac:dyDescent="0.25">
      <c r="A16" s="5">
        <v>1016</v>
      </c>
      <c r="B16" s="1" t="s">
        <v>31</v>
      </c>
      <c r="C16" s="1" t="s">
        <v>13</v>
      </c>
      <c r="D16" s="1">
        <v>1744</v>
      </c>
      <c r="E16" s="1" t="s">
        <v>27</v>
      </c>
      <c r="F16" s="6">
        <v>20</v>
      </c>
    </row>
    <row r="17" spans="1:6" x14ac:dyDescent="0.25">
      <c r="A17" s="5">
        <v>1017</v>
      </c>
      <c r="B17" s="1" t="s">
        <v>32</v>
      </c>
      <c r="C17" s="1" t="s">
        <v>19</v>
      </c>
      <c r="D17" s="1">
        <v>2850</v>
      </c>
      <c r="E17" s="1" t="s">
        <v>30</v>
      </c>
      <c r="F17" s="6">
        <v>12</v>
      </c>
    </row>
    <row r="18" spans="1:6" x14ac:dyDescent="0.25">
      <c r="A18" s="5">
        <v>1018</v>
      </c>
      <c r="B18" s="1" t="s">
        <v>29</v>
      </c>
      <c r="C18" s="1" t="s">
        <v>21</v>
      </c>
      <c r="D18" s="1">
        <v>1865</v>
      </c>
      <c r="E18" s="1" t="s">
        <v>26</v>
      </c>
      <c r="F18" s="6">
        <v>10</v>
      </c>
    </row>
    <row r="19" spans="1:6" x14ac:dyDescent="0.25">
      <c r="A19" s="5">
        <v>1019</v>
      </c>
      <c r="B19" s="1" t="s">
        <v>15</v>
      </c>
      <c r="C19" s="1" t="s">
        <v>11</v>
      </c>
      <c r="D19" s="1">
        <v>2854</v>
      </c>
      <c r="E19" s="1" t="s">
        <v>33</v>
      </c>
      <c r="F19" s="6">
        <v>16</v>
      </c>
    </row>
    <row r="20" spans="1:6" x14ac:dyDescent="0.25">
      <c r="A20" s="5">
        <v>1020</v>
      </c>
      <c r="B20" s="1" t="s">
        <v>29</v>
      </c>
      <c r="C20" s="1" t="s">
        <v>21</v>
      </c>
      <c r="D20" s="1">
        <v>2668</v>
      </c>
      <c r="E20" s="1" t="s">
        <v>34</v>
      </c>
      <c r="F20" s="6">
        <v>10</v>
      </c>
    </row>
    <row r="21" spans="1:6" x14ac:dyDescent="0.25">
      <c r="A21" s="5">
        <v>1021</v>
      </c>
      <c r="B21" s="1" t="s">
        <v>32</v>
      </c>
      <c r="C21" s="1" t="s">
        <v>19</v>
      </c>
      <c r="D21" s="1">
        <v>2270</v>
      </c>
      <c r="E21" s="1" t="s">
        <v>34</v>
      </c>
      <c r="F21" s="6">
        <v>12</v>
      </c>
    </row>
    <row r="22" spans="1:6" x14ac:dyDescent="0.25">
      <c r="A22" s="5">
        <v>1022</v>
      </c>
      <c r="B22" s="1" t="s">
        <v>29</v>
      </c>
      <c r="C22" s="1" t="s">
        <v>21</v>
      </c>
      <c r="D22" s="1">
        <v>1924</v>
      </c>
      <c r="E22" s="1" t="s">
        <v>30</v>
      </c>
      <c r="F22" s="6">
        <v>10</v>
      </c>
    </row>
    <row r="23" spans="1:6" x14ac:dyDescent="0.25">
      <c r="A23" s="5">
        <v>1023</v>
      </c>
      <c r="B23" s="1" t="s">
        <v>9</v>
      </c>
      <c r="C23" s="1" t="s">
        <v>13</v>
      </c>
      <c r="D23" s="1">
        <v>1431</v>
      </c>
      <c r="E23" s="1" t="s">
        <v>34</v>
      </c>
      <c r="F23" s="6">
        <v>10</v>
      </c>
    </row>
    <row r="24" spans="1:6" x14ac:dyDescent="0.25">
      <c r="A24" s="5">
        <v>1024</v>
      </c>
      <c r="B24" s="1" t="s">
        <v>9</v>
      </c>
      <c r="C24" s="1" t="s">
        <v>13</v>
      </c>
      <c r="D24" s="1">
        <v>1378</v>
      </c>
      <c r="E24" s="1" t="s">
        <v>35</v>
      </c>
      <c r="F24" s="6">
        <v>9</v>
      </c>
    </row>
    <row r="25" spans="1:6" x14ac:dyDescent="0.25">
      <c r="A25" s="5">
        <v>1025</v>
      </c>
      <c r="B25" s="1" t="s">
        <v>15</v>
      </c>
      <c r="C25" s="1" t="s">
        <v>11</v>
      </c>
      <c r="D25" s="1">
        <v>863</v>
      </c>
      <c r="E25" s="1" t="s">
        <v>33</v>
      </c>
      <c r="F25" s="6">
        <v>17</v>
      </c>
    </row>
    <row r="26" spans="1:6" x14ac:dyDescent="0.25">
      <c r="A26" s="5">
        <v>1026</v>
      </c>
      <c r="B26" s="1" t="s">
        <v>9</v>
      </c>
      <c r="C26" s="1" t="s">
        <v>13</v>
      </c>
      <c r="D26" s="1">
        <v>2306</v>
      </c>
      <c r="E26" s="1" t="s">
        <v>36</v>
      </c>
      <c r="F26" s="6">
        <v>7</v>
      </c>
    </row>
    <row r="27" spans="1:6" x14ac:dyDescent="0.25">
      <c r="A27" s="5">
        <v>1027</v>
      </c>
      <c r="B27" s="1" t="s">
        <v>32</v>
      </c>
      <c r="C27" s="1" t="s">
        <v>19</v>
      </c>
      <c r="D27" s="1">
        <v>1744</v>
      </c>
      <c r="E27" s="1" t="s">
        <v>37</v>
      </c>
      <c r="F27" s="6">
        <v>12</v>
      </c>
    </row>
    <row r="28" spans="1:6" x14ac:dyDescent="0.25">
      <c r="A28" s="5">
        <v>1028</v>
      </c>
      <c r="B28" s="1" t="s">
        <v>9</v>
      </c>
      <c r="C28" s="1" t="s">
        <v>13</v>
      </c>
      <c r="D28" s="1">
        <v>1718</v>
      </c>
      <c r="E28" s="1" t="s">
        <v>33</v>
      </c>
      <c r="F28" s="6">
        <v>11</v>
      </c>
    </row>
    <row r="29" spans="1:6" x14ac:dyDescent="0.25">
      <c r="A29" s="5">
        <v>1029</v>
      </c>
      <c r="B29" s="1" t="s">
        <v>10</v>
      </c>
      <c r="C29" s="1" t="s">
        <v>11</v>
      </c>
      <c r="D29" s="1">
        <v>2707</v>
      </c>
      <c r="E29" s="1" t="s">
        <v>34</v>
      </c>
      <c r="F29" s="6">
        <v>11</v>
      </c>
    </row>
    <row r="30" spans="1:6" x14ac:dyDescent="0.25">
      <c r="A30" s="5">
        <v>1030</v>
      </c>
      <c r="B30" s="1" t="s">
        <v>29</v>
      </c>
      <c r="C30" s="1" t="s">
        <v>21</v>
      </c>
      <c r="D30" s="1">
        <v>1440</v>
      </c>
      <c r="E30" s="1" t="s">
        <v>27</v>
      </c>
      <c r="F30" s="6">
        <v>15</v>
      </c>
    </row>
    <row r="31" spans="1:6" x14ac:dyDescent="0.25">
      <c r="A31" s="5">
        <v>1031</v>
      </c>
      <c r="B31" s="1" t="s">
        <v>31</v>
      </c>
      <c r="C31" s="1" t="s">
        <v>13</v>
      </c>
      <c r="D31" s="1">
        <v>1344</v>
      </c>
      <c r="E31" s="1" t="s">
        <v>36</v>
      </c>
      <c r="F31" s="6">
        <v>8</v>
      </c>
    </row>
    <row r="32" spans="1:6" x14ac:dyDescent="0.25">
      <c r="A32" s="5">
        <v>1032</v>
      </c>
      <c r="B32" s="1" t="s">
        <v>23</v>
      </c>
      <c r="C32" s="1" t="s">
        <v>11</v>
      </c>
      <c r="D32" s="1">
        <v>2210</v>
      </c>
      <c r="E32" s="1" t="s">
        <v>28</v>
      </c>
      <c r="F32" s="6">
        <v>19</v>
      </c>
    </row>
    <row r="33" spans="1:6" x14ac:dyDescent="0.25">
      <c r="A33" s="5">
        <v>1033</v>
      </c>
      <c r="B33" s="1" t="s">
        <v>10</v>
      </c>
      <c r="C33" s="1" t="s">
        <v>11</v>
      </c>
      <c r="D33" s="1">
        <v>838</v>
      </c>
      <c r="E33" s="1" t="s">
        <v>33</v>
      </c>
      <c r="F33" s="6">
        <v>10</v>
      </c>
    </row>
    <row r="34" spans="1:6" x14ac:dyDescent="0.25">
      <c r="A34" s="5">
        <v>1034</v>
      </c>
      <c r="B34" s="1" t="s">
        <v>23</v>
      </c>
      <c r="C34" s="1" t="s">
        <v>11</v>
      </c>
      <c r="D34" s="1">
        <v>1583</v>
      </c>
      <c r="E34" s="1" t="s">
        <v>37</v>
      </c>
      <c r="F34" s="6">
        <v>4</v>
      </c>
    </row>
    <row r="35" spans="1:6" x14ac:dyDescent="0.25">
      <c r="A35" s="5">
        <v>1035</v>
      </c>
      <c r="B35" s="1" t="s">
        <v>8</v>
      </c>
      <c r="C35" s="1" t="s">
        <v>11</v>
      </c>
      <c r="D35" s="1">
        <v>1209</v>
      </c>
      <c r="E35" s="1" t="s">
        <v>30</v>
      </c>
      <c r="F35" s="6">
        <v>19</v>
      </c>
    </row>
    <row r="36" spans="1:6" x14ac:dyDescent="0.25">
      <c r="A36" s="5">
        <v>1036</v>
      </c>
      <c r="B36" s="1" t="s">
        <v>23</v>
      </c>
      <c r="C36" s="1" t="s">
        <v>11</v>
      </c>
      <c r="D36" s="1">
        <v>990</v>
      </c>
      <c r="E36" s="1" t="s">
        <v>28</v>
      </c>
      <c r="F36" s="6">
        <v>19</v>
      </c>
    </row>
    <row r="37" spans="1:6" x14ac:dyDescent="0.25">
      <c r="A37" s="5">
        <v>1037</v>
      </c>
      <c r="B37" s="1" t="s">
        <v>31</v>
      </c>
      <c r="C37" s="1" t="s">
        <v>13</v>
      </c>
      <c r="D37" s="1">
        <v>2521</v>
      </c>
      <c r="E37" s="1" t="s">
        <v>35</v>
      </c>
      <c r="F37" s="6">
        <v>6</v>
      </c>
    </row>
    <row r="38" spans="1:6" x14ac:dyDescent="0.25">
      <c r="A38" s="5">
        <v>1038</v>
      </c>
      <c r="B38" s="1" t="s">
        <v>23</v>
      </c>
      <c r="C38" s="1" t="s">
        <v>11</v>
      </c>
      <c r="D38" s="1">
        <v>1076</v>
      </c>
      <c r="E38" s="1" t="s">
        <v>36</v>
      </c>
      <c r="F38" s="6">
        <v>11</v>
      </c>
    </row>
    <row r="39" spans="1:6" x14ac:dyDescent="0.25">
      <c r="A39" s="5">
        <v>1039</v>
      </c>
      <c r="B39" s="1" t="s">
        <v>32</v>
      </c>
      <c r="C39" s="1" t="s">
        <v>19</v>
      </c>
      <c r="D39" s="1">
        <v>2943</v>
      </c>
      <c r="E39" s="1" t="s">
        <v>26</v>
      </c>
      <c r="F39" s="6">
        <v>10</v>
      </c>
    </row>
    <row r="40" spans="1:6" x14ac:dyDescent="0.25">
      <c r="A40" s="5">
        <v>1040</v>
      </c>
      <c r="B40" s="1" t="s">
        <v>29</v>
      </c>
      <c r="C40" s="1" t="s">
        <v>21</v>
      </c>
      <c r="D40" s="1">
        <v>2123</v>
      </c>
      <c r="E40" s="1" t="s">
        <v>36</v>
      </c>
      <c r="F40" s="6">
        <v>19</v>
      </c>
    </row>
    <row r="41" spans="1:6" x14ac:dyDescent="0.25">
      <c r="A41" s="5">
        <v>1041</v>
      </c>
      <c r="B41" s="1" t="s">
        <v>32</v>
      </c>
      <c r="C41" s="1" t="s">
        <v>19</v>
      </c>
      <c r="D41" s="1">
        <v>1236</v>
      </c>
      <c r="E41" s="1" t="s">
        <v>38</v>
      </c>
      <c r="F41" s="6">
        <v>13</v>
      </c>
    </row>
    <row r="42" spans="1:6" x14ac:dyDescent="0.25">
      <c r="A42" s="5">
        <v>1042</v>
      </c>
      <c r="B42" s="1" t="s">
        <v>15</v>
      </c>
      <c r="C42" s="1" t="s">
        <v>11</v>
      </c>
      <c r="D42" s="1">
        <v>2169</v>
      </c>
      <c r="E42" s="1" t="s">
        <v>28</v>
      </c>
      <c r="F42" s="6">
        <v>11</v>
      </c>
    </row>
    <row r="43" spans="1:6" x14ac:dyDescent="0.25">
      <c r="A43" s="5">
        <v>1043</v>
      </c>
      <c r="B43" s="1" t="s">
        <v>31</v>
      </c>
      <c r="C43" s="1" t="s">
        <v>13</v>
      </c>
      <c r="D43" s="1">
        <v>700</v>
      </c>
      <c r="E43" s="1" t="s">
        <v>27</v>
      </c>
      <c r="F43" s="6">
        <v>9</v>
      </c>
    </row>
    <row r="44" spans="1:6" x14ac:dyDescent="0.25">
      <c r="A44" s="5">
        <v>1044</v>
      </c>
      <c r="B44" s="1" t="s">
        <v>32</v>
      </c>
      <c r="C44" s="1" t="s">
        <v>19</v>
      </c>
      <c r="D44" s="1">
        <v>2165</v>
      </c>
      <c r="E44" s="1" t="s">
        <v>34</v>
      </c>
      <c r="F44" s="6">
        <v>2</v>
      </c>
    </row>
    <row r="45" spans="1:6" x14ac:dyDescent="0.25">
      <c r="A45" s="7">
        <v>1045</v>
      </c>
      <c r="B45" s="8" t="s">
        <v>8</v>
      </c>
      <c r="C45" s="8" t="s">
        <v>11</v>
      </c>
      <c r="D45" s="8">
        <v>2566</v>
      </c>
      <c r="E45" s="8" t="s">
        <v>27</v>
      </c>
      <c r="F45" s="9">
        <v>6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B514-1AF5-4DF3-B1AE-EB61B03EE271}">
  <dimension ref="A1:F11"/>
  <sheetViews>
    <sheetView tabSelected="1" workbookViewId="0">
      <selection activeCell="F4" sqref="F4"/>
    </sheetView>
  </sheetViews>
  <sheetFormatPr defaultRowHeight="15" x14ac:dyDescent="0.25"/>
  <cols>
    <col min="1" max="1" width="9.5703125" customWidth="1"/>
    <col min="2" max="2" width="31.42578125" customWidth="1"/>
    <col min="3" max="3" width="16.7109375" customWidth="1"/>
    <col min="5" max="5" width="11.5703125" bestFit="1" customWidth="1"/>
    <col min="6" max="6" width="14.5703125" customWidth="1"/>
  </cols>
  <sheetData>
    <row r="1" spans="1:6" ht="23.25" x14ac:dyDescent="0.35">
      <c r="A1" s="33" t="s">
        <v>0</v>
      </c>
      <c r="B1" s="33"/>
    </row>
    <row r="2" spans="1:6" ht="15.75" x14ac:dyDescent="0.25">
      <c r="A2" s="34" t="s">
        <v>1</v>
      </c>
      <c r="B2" s="34"/>
    </row>
    <row r="3" spans="1:6" x14ac:dyDescent="0.25">
      <c r="A3" s="18" t="s">
        <v>2</v>
      </c>
      <c r="B3" s="19" t="s">
        <v>39</v>
      </c>
      <c r="C3" s="20" t="s">
        <v>40</v>
      </c>
      <c r="D3" s="21" t="s">
        <v>41</v>
      </c>
      <c r="E3" s="22" t="s">
        <v>42</v>
      </c>
      <c r="F3" s="23" t="s">
        <v>43</v>
      </c>
    </row>
    <row r="4" spans="1:6" x14ac:dyDescent="0.25">
      <c r="A4" s="24">
        <v>9001</v>
      </c>
      <c r="B4" s="25">
        <v>19</v>
      </c>
      <c r="C4" s="26">
        <v>3200</v>
      </c>
      <c r="D4" s="27">
        <v>0.15</v>
      </c>
      <c r="E4" s="28">
        <v>3680</v>
      </c>
      <c r="F4" s="29">
        <f>Table13[[#This Row],[Cost]]*Table13[[#This Row],[Markup]]</f>
        <v>480</v>
      </c>
    </row>
    <row r="5" spans="1:6" x14ac:dyDescent="0.25">
      <c r="A5" s="24">
        <v>9002</v>
      </c>
      <c r="B5" s="25">
        <v>24</v>
      </c>
      <c r="C5" s="26">
        <v>12000</v>
      </c>
      <c r="D5" s="27">
        <v>0.2</v>
      </c>
      <c r="E5" s="28">
        <v>14400</v>
      </c>
      <c r="F5" s="29">
        <f>Table13[[#This Row],[Cost]]*Table13[[#This Row],[Markup]]</f>
        <v>2400</v>
      </c>
    </row>
    <row r="6" spans="1:6" x14ac:dyDescent="0.25">
      <c r="A6" s="24">
        <v>9003</v>
      </c>
      <c r="B6" s="25">
        <v>16</v>
      </c>
      <c r="C6" s="26">
        <v>16000</v>
      </c>
      <c r="D6" s="27">
        <v>0.17</v>
      </c>
      <c r="E6" s="28">
        <v>18720</v>
      </c>
      <c r="F6" s="29">
        <f>Table13[[#This Row],[Cost]]*Table13[[#This Row],[Markup]]</f>
        <v>2720</v>
      </c>
    </row>
    <row r="7" spans="1:6" x14ac:dyDescent="0.25">
      <c r="A7" s="24">
        <v>9004</v>
      </c>
      <c r="B7" s="25">
        <v>26</v>
      </c>
      <c r="C7" s="26">
        <v>5200</v>
      </c>
      <c r="D7" s="27">
        <v>0.14000000000000001</v>
      </c>
      <c r="E7" s="28">
        <v>5928</v>
      </c>
      <c r="F7" s="29">
        <f>Table13[[#This Row],[Cost]]*Table13[[#This Row],[Markup]]</f>
        <v>728.00000000000011</v>
      </c>
    </row>
    <row r="8" spans="1:6" x14ac:dyDescent="0.25">
      <c r="A8" s="24">
        <v>9005</v>
      </c>
      <c r="B8" s="25">
        <v>7</v>
      </c>
      <c r="C8" s="26">
        <v>6000</v>
      </c>
      <c r="D8" s="27">
        <v>0.19</v>
      </c>
      <c r="E8" s="28">
        <v>7140</v>
      </c>
      <c r="F8" s="29">
        <f>Table13[[#This Row],[Cost]]*Table13[[#This Row],[Markup]]</f>
        <v>1140</v>
      </c>
    </row>
    <row r="9" spans="1:6" x14ac:dyDescent="0.25">
      <c r="A9" s="24">
        <v>9006</v>
      </c>
      <c r="B9" s="30">
        <v>27</v>
      </c>
      <c r="C9" s="31">
        <v>2000</v>
      </c>
      <c r="D9" s="27">
        <v>0.18</v>
      </c>
      <c r="E9" s="28">
        <v>2360</v>
      </c>
      <c r="F9" s="29">
        <f>Table13[[#This Row],[Cost]]*Table13[[#This Row],[Markup]]</f>
        <v>360</v>
      </c>
    </row>
    <row r="10" spans="1:6" x14ac:dyDescent="0.25">
      <c r="A10" s="24">
        <v>9007</v>
      </c>
      <c r="B10" s="22">
        <v>24</v>
      </c>
      <c r="C10" s="32">
        <v>1200</v>
      </c>
      <c r="D10" s="27">
        <v>0.1</v>
      </c>
      <c r="E10" s="28">
        <v>1320</v>
      </c>
      <c r="F10" s="29">
        <f>Table13[[#This Row],[Cost]]*Table13[[#This Row],[Markup]]</f>
        <v>120</v>
      </c>
    </row>
    <row r="11" spans="1:6" x14ac:dyDescent="0.25">
      <c r="A11" s="24">
        <v>9008</v>
      </c>
      <c r="B11" s="25">
        <v>14</v>
      </c>
      <c r="C11" s="28">
        <v>12000</v>
      </c>
      <c r="D11" s="27">
        <v>0.13</v>
      </c>
      <c r="E11" s="28">
        <v>13560</v>
      </c>
      <c r="F11" s="29">
        <f>Table13[[#This Row],[Cost]]*Table13[[#This Row],[Markup]]</f>
        <v>1560</v>
      </c>
    </row>
  </sheetData>
  <mergeCells count="2">
    <mergeCell ref="A1:B1"/>
    <mergeCell ref="A2:B2"/>
  </mergeCells>
  <pageMargins left="0.7" right="0.7" top="0.75" bottom="0.75" header="0.3" footer="0.3"/>
  <ignoredErrors>
    <ignoredError sqref="D4:D10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Auction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Sergio</dc:creator>
  <cp:lastModifiedBy>Irvin Pineda</cp:lastModifiedBy>
  <dcterms:created xsi:type="dcterms:W3CDTF">2026-01-31T03:22:08Z</dcterms:created>
  <dcterms:modified xsi:type="dcterms:W3CDTF">2026-02-24T03:42:54Z</dcterms:modified>
</cp:coreProperties>
</file>