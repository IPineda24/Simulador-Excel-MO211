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CERTI MO-211\"/>
    </mc:Choice>
  </mc:AlternateContent>
  <xr:revisionPtr revIDLastSave="0" documentId="13_ncr:1_{8618926C-9FC6-4F12-87AF-DF0CF489FF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 Sites" sheetId="1" r:id="rId1"/>
    <sheet name="Sales Projections" sheetId="2" r:id="rId2"/>
    <sheet name="Inventory" sheetId="3" r:id="rId3"/>
    <sheet name="Orders" sheetId="4" r:id="rId4"/>
    <sheet name="Locations" sheetId="5" r:id="rId5"/>
    <sheet name="Loyalty" sheetId="6" r:id="rId6"/>
  </sheets>
  <definedNames>
    <definedName name="DueDate">Table3[Due Date]</definedName>
    <definedName name="Quantity">Table3[Quantity]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 a="1"/>
  <c r="G3" i="4" s="1"/>
  <c r="F4" i="1"/>
  <c r="F5" i="1"/>
  <c r="F6" i="1"/>
  <c r="F7" i="1"/>
  <c r="F8" i="1"/>
  <c r="F9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<sst xmlns="http://schemas.openxmlformats.org/spreadsheetml/2006/main" count="657" uniqueCount="407">
  <si>
    <t>Adventure Works Cycles</t>
  </si>
  <si>
    <t>Work Sites</t>
  </si>
  <si>
    <t>Location</t>
  </si>
  <si>
    <t>Quarter 1</t>
  </si>
  <si>
    <t>Quarter 2</t>
  </si>
  <si>
    <t>Quarter 3</t>
  </si>
  <si>
    <t>Quarter 4</t>
  </si>
  <si>
    <t>Total Units</t>
  </si>
  <si>
    <t>Auckland</t>
  </si>
  <si>
    <t>Melbourne</t>
  </si>
  <si>
    <t>Tokyo</t>
  </si>
  <si>
    <t>Shanghai</t>
  </si>
  <si>
    <t>London</t>
  </si>
  <si>
    <t>Madrid</t>
  </si>
  <si>
    <t>New York</t>
  </si>
  <si>
    <t>Salses Projections</t>
  </si>
  <si>
    <t>Manager</t>
  </si>
  <si>
    <t>Specialty</t>
  </si>
  <si>
    <t>Unit Cost</t>
  </si>
  <si>
    <t>Units in Production</t>
  </si>
  <si>
    <t>Maximum Units</t>
  </si>
  <si>
    <t>Eva Gunnarsson</t>
  </si>
  <si>
    <t>Frame Forming</t>
  </si>
  <si>
    <t>Peter Krebs</t>
  </si>
  <si>
    <t>Frame Welding</t>
  </si>
  <si>
    <t>Guido Pica</t>
  </si>
  <si>
    <t>Debur and Polish</t>
  </si>
  <si>
    <t>Danielle Tiedt</t>
  </si>
  <si>
    <t>Paint</t>
  </si>
  <si>
    <t>Rob Verhoff</t>
  </si>
  <si>
    <t>Specialized Paint</t>
  </si>
  <si>
    <t>Daisuke Yanagishima</t>
  </si>
  <si>
    <t>Subassembly</t>
  </si>
  <si>
    <t>Roya Asbari</t>
  </si>
  <si>
    <t>Final Assembly</t>
  </si>
  <si>
    <t>Name</t>
  </si>
  <si>
    <t>Customer ID</t>
  </si>
  <si>
    <t>Aalling, Lene</t>
  </si>
  <si>
    <t>Ajenstat, François</t>
  </si>
  <si>
    <t>Anderson, Nancy</t>
  </si>
  <si>
    <t>Ansman-Wolfe, Pamela</t>
  </si>
  <si>
    <t>Dulong, Jeff</t>
  </si>
  <si>
    <t>Eggerer, Alexander</t>
  </si>
  <si>
    <t>Entin, Michael</t>
  </si>
  <si>
    <t>Fitzmaurice, Mike</t>
  </si>
  <si>
    <t>Fluegel, Jay</t>
  </si>
  <si>
    <t>Gnielka, Saskia</t>
  </si>
  <si>
    <t>Gode, Scott</t>
  </si>
  <si>
    <t>Gutierrez, Pedro</t>
  </si>
  <si>
    <t>Koch, Paul</t>
  </si>
  <si>
    <t>Low, Spencer</t>
  </si>
  <si>
    <t>Luper, Steve</t>
  </si>
  <si>
    <t>Madsen, Anders</t>
  </si>
  <si>
    <t>Madsen, René Lund</t>
  </si>
  <si>
    <t>Maldonado Guerra, Alfredo</t>
  </si>
  <si>
    <t>Yokim, John</t>
  </si>
  <si>
    <t>Zuber, Annelie</t>
  </si>
  <si>
    <t>Adventure Works Cycle</t>
  </si>
  <si>
    <t>Loyalty Gift Card</t>
  </si>
  <si>
    <t>Warehouse Inventory</t>
  </si>
  <si>
    <t>Part Number</t>
  </si>
  <si>
    <t>Color</t>
  </si>
  <si>
    <t>In Stock</t>
  </si>
  <si>
    <t>Reorder Point</t>
  </si>
  <si>
    <t>Cost</t>
  </si>
  <si>
    <t>List Price</t>
  </si>
  <si>
    <t>Size</t>
  </si>
  <si>
    <t>Weight</t>
  </si>
  <si>
    <t>Days to Build</t>
  </si>
  <si>
    <t>FR-R38B-44</t>
  </si>
  <si>
    <t>Black</t>
  </si>
  <si>
    <t>FR-R38B-48</t>
  </si>
  <si>
    <t>FR-R38B-52</t>
  </si>
  <si>
    <t>HL-U509-R</t>
  </si>
  <si>
    <t>Red</t>
  </si>
  <si>
    <t>HL-U509</t>
  </si>
  <si>
    <t>LJ-0192-S</t>
  </si>
  <si>
    <t>Multi</t>
  </si>
  <si>
    <t>S</t>
  </si>
  <si>
    <t>LJ-0192-M</t>
  </si>
  <si>
    <t>M</t>
  </si>
  <si>
    <t>LJ-0192-X</t>
  </si>
  <si>
    <t>XL</t>
  </si>
  <si>
    <t>PD-M282</t>
  </si>
  <si>
    <t>Silver</t>
  </si>
  <si>
    <t>PD-M340</t>
  </si>
  <si>
    <t>PD-M562</t>
  </si>
  <si>
    <t>Blue</t>
  </si>
  <si>
    <t>L</t>
  </si>
  <si>
    <t>Days to Build &gt;5</t>
  </si>
  <si>
    <t>HS-350</t>
  </si>
  <si>
    <t>HR-B66</t>
  </si>
  <si>
    <t>HS-351</t>
  </si>
  <si>
    <t>HR-B67</t>
  </si>
  <si>
    <t>HS-352</t>
  </si>
  <si>
    <t>HR-B68</t>
  </si>
  <si>
    <t>HS-353</t>
  </si>
  <si>
    <t>HR-B69</t>
  </si>
  <si>
    <t>HS-354</t>
  </si>
  <si>
    <t>HR-B70</t>
  </si>
  <si>
    <t>HS-355</t>
  </si>
  <si>
    <t>HR-B71</t>
  </si>
  <si>
    <t>HS-356</t>
  </si>
  <si>
    <t>HR-B72</t>
  </si>
  <si>
    <t>HS-357</t>
  </si>
  <si>
    <t>HR-B73</t>
  </si>
  <si>
    <t>HS-358</t>
  </si>
  <si>
    <t>HR-B74</t>
  </si>
  <si>
    <t>FR-R38B-44-001</t>
  </si>
  <si>
    <t>FR-R38B-48-001</t>
  </si>
  <si>
    <t>FR-R38B-52-001</t>
  </si>
  <si>
    <t>HL-U509-R-001</t>
  </si>
  <si>
    <t>HL-U509-001</t>
  </si>
  <si>
    <t>LJ-0192-S-001</t>
  </si>
  <si>
    <t>LJ-0192-M-001</t>
  </si>
  <si>
    <t>LJ-0192-X-001</t>
  </si>
  <si>
    <t>PD-M282-001</t>
  </si>
  <si>
    <t>PD-M340-001</t>
  </si>
  <si>
    <t>PD-M562-001</t>
  </si>
  <si>
    <t>PD-R347-001</t>
  </si>
  <si>
    <t>SA-M198-001</t>
  </si>
  <si>
    <t>SA-M237-001</t>
  </si>
  <si>
    <t>SA-M687-001</t>
  </si>
  <si>
    <t>SA-R127-001</t>
  </si>
  <si>
    <t>SA-R430-001</t>
  </si>
  <si>
    <t>SA-R522-001</t>
  </si>
  <si>
    <t>SE-M798-001</t>
  </si>
  <si>
    <t>SE-M940-001</t>
  </si>
  <si>
    <t>TI-R092-001</t>
  </si>
  <si>
    <t>TI-R628-001</t>
  </si>
  <si>
    <t>VE-C304-L-001</t>
  </si>
  <si>
    <t>VE-C304-M-001</t>
  </si>
  <si>
    <t>FR-R38B-44-002</t>
  </si>
  <si>
    <t>FR-R38B-48-002</t>
  </si>
  <si>
    <t>FR-R38B-52-002</t>
  </si>
  <si>
    <t>HL-U509-R-002</t>
  </si>
  <si>
    <t>HL-U509-002</t>
  </si>
  <si>
    <t>LJ-0192-S-002</t>
  </si>
  <si>
    <t>LJ-0192-M-002</t>
  </si>
  <si>
    <t>LJ-0192-X-002</t>
  </si>
  <si>
    <t>PD-M282-002</t>
  </si>
  <si>
    <t>PD-M340-002</t>
  </si>
  <si>
    <t>PD-M562-002</t>
  </si>
  <si>
    <t>PD-R347-002</t>
  </si>
  <si>
    <t>SA-M198-002</t>
  </si>
  <si>
    <t>SA-M237-002</t>
  </si>
  <si>
    <t>SA-M687-002</t>
  </si>
  <si>
    <t>SA-R127-002</t>
  </si>
  <si>
    <t>SA-R430-002</t>
  </si>
  <si>
    <t>SA-R522-002</t>
  </si>
  <si>
    <t>SE-M798-002</t>
  </si>
  <si>
    <t>SE-M940-002</t>
  </si>
  <si>
    <t>TI-R092-002</t>
  </si>
  <si>
    <t>TI-R628-002</t>
  </si>
  <si>
    <t>VE-C304-L-002</t>
  </si>
  <si>
    <t>VE-C304-M-002</t>
  </si>
  <si>
    <t>FR-R38B-44-003</t>
  </si>
  <si>
    <t>FR-R38B-48-003</t>
  </si>
  <si>
    <t>FR-R38B-52-003</t>
  </si>
  <si>
    <t>HL-U509-R-003</t>
  </si>
  <si>
    <t>HL-U509-003</t>
  </si>
  <si>
    <t>LJ-0192-S-003</t>
  </si>
  <si>
    <t>LJ-0192-M-003</t>
  </si>
  <si>
    <t>LJ-0192-X-003</t>
  </si>
  <si>
    <t>PD-M282-003</t>
  </si>
  <si>
    <t>PD-M340-003</t>
  </si>
  <si>
    <t>PD-M562-003</t>
  </si>
  <si>
    <t>PD-R347-003</t>
  </si>
  <si>
    <t>SA-M198-003</t>
  </si>
  <si>
    <t>SA-M237-003</t>
  </si>
  <si>
    <t>SA-M687-003</t>
  </si>
  <si>
    <t>SA-R127-003</t>
  </si>
  <si>
    <t>SA-R430-003</t>
  </si>
  <si>
    <t>SA-R522-003</t>
  </si>
  <si>
    <t>SE-M798-003</t>
  </si>
  <si>
    <t>SE-M940-003</t>
  </si>
  <si>
    <t>TI-R092-003</t>
  </si>
  <si>
    <t>TI-R628-003</t>
  </si>
  <si>
    <t>VE-C304-L-003</t>
  </si>
  <si>
    <t>VE-C304-M-003</t>
  </si>
  <si>
    <t>FR-R38B-44-004</t>
  </si>
  <si>
    <t>FR-R38B-48-004</t>
  </si>
  <si>
    <t>FR-R38B-52-004</t>
  </si>
  <si>
    <t>HL-U509-R-004</t>
  </si>
  <si>
    <t>HL-U509-004</t>
  </si>
  <si>
    <t>LJ-0192-S-004</t>
  </si>
  <si>
    <t>LJ-0192-M-004</t>
  </si>
  <si>
    <t>LJ-0192-X-004</t>
  </si>
  <si>
    <t>PD-M282-004</t>
  </si>
  <si>
    <t>PD-M340-004</t>
  </si>
  <si>
    <t>PD-M562-004</t>
  </si>
  <si>
    <t>PD-R347-004</t>
  </si>
  <si>
    <t>SA-M198-004</t>
  </si>
  <si>
    <t>SA-M237-004</t>
  </si>
  <si>
    <t>SA-M687-004</t>
  </si>
  <si>
    <t>SA-R127-004</t>
  </si>
  <si>
    <t>SA-R430-004</t>
  </si>
  <si>
    <t>SA-R522-004</t>
  </si>
  <si>
    <t>SE-M798-004</t>
  </si>
  <si>
    <t>SE-M940-004</t>
  </si>
  <si>
    <t>TI-R092-004</t>
  </si>
  <si>
    <t>TI-R628-004</t>
  </si>
  <si>
    <t>VE-C304-L-004</t>
  </si>
  <si>
    <t>VE-C304-M-004</t>
  </si>
  <si>
    <t>FR-R38B-44-005</t>
  </si>
  <si>
    <t>FR-R38B-48-005</t>
  </si>
  <si>
    <t>FR-R38B-52-005</t>
  </si>
  <si>
    <t>HL-U509-R-005</t>
  </si>
  <si>
    <t>HL-U509-005</t>
  </si>
  <si>
    <t>LJ-0192-S-005</t>
  </si>
  <si>
    <t>LJ-0192-M-005</t>
  </si>
  <si>
    <t>LJ-0192-X-005</t>
  </si>
  <si>
    <t>PD-M282-005</t>
  </si>
  <si>
    <t>PD-M340-005</t>
  </si>
  <si>
    <t>PD-M562-005</t>
  </si>
  <si>
    <t>PD-R347-005</t>
  </si>
  <si>
    <t>SA-M198-005</t>
  </si>
  <si>
    <t>SA-M237-005</t>
  </si>
  <si>
    <t>SA-M687-005</t>
  </si>
  <si>
    <t>SA-R127-005</t>
  </si>
  <si>
    <t>SA-R430-005</t>
  </si>
  <si>
    <t>SA-R522-005</t>
  </si>
  <si>
    <t>SE-M798-005</t>
  </si>
  <si>
    <t>SE-M940-005</t>
  </si>
  <si>
    <t>TI-R092-005</t>
  </si>
  <si>
    <t>TI-R628-005</t>
  </si>
  <si>
    <t>VE-C304-L-005</t>
  </si>
  <si>
    <t>VE-C304-M-005</t>
  </si>
  <si>
    <t>FR-R38B-44-006</t>
  </si>
  <si>
    <t>FR-R38B-48-006</t>
  </si>
  <si>
    <t>FR-R38B-52-006</t>
  </si>
  <si>
    <t>HL-U509-R-006</t>
  </si>
  <si>
    <t>HL-U509-006</t>
  </si>
  <si>
    <t>LJ-0192-S-006</t>
  </si>
  <si>
    <t>LJ-0192-M-006</t>
  </si>
  <si>
    <t>LJ-0192-X-006</t>
  </si>
  <si>
    <t>PD-M282-006</t>
  </si>
  <si>
    <t>PD-M340-006</t>
  </si>
  <si>
    <t>PD-M562-006</t>
  </si>
  <si>
    <t>PD-R347-006</t>
  </si>
  <si>
    <t>SA-M198-006</t>
  </si>
  <si>
    <t>SA-M237-006</t>
  </si>
  <si>
    <t>SA-M687-006</t>
  </si>
  <si>
    <t>SA-R127-006</t>
  </si>
  <si>
    <t>SA-R430-006</t>
  </si>
  <si>
    <t>SA-R522-006</t>
  </si>
  <si>
    <t>SE-M798-006</t>
  </si>
  <si>
    <t>SE-M940-006</t>
  </si>
  <si>
    <t>TI-R092-006</t>
  </si>
  <si>
    <t>TI-R628-006</t>
  </si>
  <si>
    <t>VE-C304-L-006</t>
  </si>
  <si>
    <t>VE-C304-M-006</t>
  </si>
  <si>
    <t>FR-R38B-44-007</t>
  </si>
  <si>
    <t>FR-R38B-48-007</t>
  </si>
  <si>
    <t>FR-R38B-52-007</t>
  </si>
  <si>
    <t>HL-U509-R-007</t>
  </si>
  <si>
    <t>HL-U509-007</t>
  </si>
  <si>
    <t>LJ-0192-S-007</t>
  </si>
  <si>
    <t>LJ-0192-M-007</t>
  </si>
  <si>
    <t>LJ-0192-X-007</t>
  </si>
  <si>
    <t>PD-M282-007</t>
  </si>
  <si>
    <t>PD-M340-007</t>
  </si>
  <si>
    <t>PD-M562-007</t>
  </si>
  <si>
    <t>PD-R347-007</t>
  </si>
  <si>
    <t>SA-M198-007</t>
  </si>
  <si>
    <t>SA-M237-007</t>
  </si>
  <si>
    <t>SA-M687-007</t>
  </si>
  <si>
    <t>SA-R127-007</t>
  </si>
  <si>
    <t>SA-R430-007</t>
  </si>
  <si>
    <t>SA-R522-007</t>
  </si>
  <si>
    <t>SE-M798-007</t>
  </si>
  <si>
    <t>SE-M940-007</t>
  </si>
  <si>
    <t>TI-R092-007</t>
  </si>
  <si>
    <t>TI-R628-007</t>
  </si>
  <si>
    <t>VE-C304-L-007</t>
  </si>
  <si>
    <t>VE-C304-M-007</t>
  </si>
  <si>
    <t>FR-R38B-44-008</t>
  </si>
  <si>
    <t>FR-R38B-48-008</t>
  </si>
  <si>
    <t>FR-R38B-52-008</t>
  </si>
  <si>
    <t>HL-U509-R-008</t>
  </si>
  <si>
    <t>HL-U509-008</t>
  </si>
  <si>
    <t>LJ-0192-S-008</t>
  </si>
  <si>
    <t>LJ-0192-M-008</t>
  </si>
  <si>
    <t>LJ-0192-X-008</t>
  </si>
  <si>
    <t>PD-M282-008</t>
  </si>
  <si>
    <t>PD-M340-008</t>
  </si>
  <si>
    <t>PD-M562-008</t>
  </si>
  <si>
    <t>PD-R347-008</t>
  </si>
  <si>
    <t>SA-M198-008</t>
  </si>
  <si>
    <t>SA-M237-008</t>
  </si>
  <si>
    <t>SA-M687-008</t>
  </si>
  <si>
    <t>SA-R127-008</t>
  </si>
  <si>
    <t>SA-R430-008</t>
  </si>
  <si>
    <t>SA-R522-008</t>
  </si>
  <si>
    <t>SE-M798-008</t>
  </si>
  <si>
    <t>SE-M940-008</t>
  </si>
  <si>
    <t>TI-R092-008</t>
  </si>
  <si>
    <t>TI-R628-008</t>
  </si>
  <si>
    <t>VE-C304-L-008</t>
  </si>
  <si>
    <t>VE-C304-M-008</t>
  </si>
  <si>
    <t>FR-R38B-44-009</t>
  </si>
  <si>
    <t>FR-R38B-48-009</t>
  </si>
  <si>
    <t>FR-R38B-52-009</t>
  </si>
  <si>
    <t>HL-U509-R-009</t>
  </si>
  <si>
    <t>HL-U509-009</t>
  </si>
  <si>
    <t>LJ-0192-S-009</t>
  </si>
  <si>
    <t>LJ-0192-M-009</t>
  </si>
  <si>
    <t>LJ-0192-X-009</t>
  </si>
  <si>
    <t>PD-M282-009</t>
  </si>
  <si>
    <t>PD-M340-009</t>
  </si>
  <si>
    <t>PD-M562-009</t>
  </si>
  <si>
    <t>PD-R347-009</t>
  </si>
  <si>
    <t>SA-M198-009</t>
  </si>
  <si>
    <t>SA-M237-009</t>
  </si>
  <si>
    <t>SA-M687-009</t>
  </si>
  <si>
    <t>SA-R127-009</t>
  </si>
  <si>
    <t>SA-R430-009</t>
  </si>
  <si>
    <t>SA-R522-009</t>
  </si>
  <si>
    <t>SE-M798-009</t>
  </si>
  <si>
    <t>SE-M940-009</t>
  </si>
  <si>
    <t>TI-R092-009</t>
  </si>
  <si>
    <t>TI-R628-009</t>
  </si>
  <si>
    <t>VE-C304-L-009</t>
  </si>
  <si>
    <t>VE-C304-M-009</t>
  </si>
  <si>
    <t>FR-R38B-44-010</t>
  </si>
  <si>
    <t>FR-R38B-48-010</t>
  </si>
  <si>
    <t>FR-R38B-52-010</t>
  </si>
  <si>
    <t>HL-U509-R-010</t>
  </si>
  <si>
    <t>HL-U509-010</t>
  </si>
  <si>
    <t>LJ-0192-S-010</t>
  </si>
  <si>
    <t>LJ-0192-M-010</t>
  </si>
  <si>
    <t>LJ-0192-X-010</t>
  </si>
  <si>
    <t>PD-M282-010</t>
  </si>
  <si>
    <t>PD-M340-010</t>
  </si>
  <si>
    <t>PD-M562-010</t>
  </si>
  <si>
    <t>PD-R347-010</t>
  </si>
  <si>
    <t>SA-M198-010</t>
  </si>
  <si>
    <t>SA-M237-010</t>
  </si>
  <si>
    <t>SA-M687-010</t>
  </si>
  <si>
    <t>SA-R127-010</t>
  </si>
  <si>
    <t>SA-R430-010</t>
  </si>
  <si>
    <t>SA-R522-010</t>
  </si>
  <si>
    <t>SE-M798-010</t>
  </si>
  <si>
    <t>SE-M940-010</t>
  </si>
  <si>
    <t>TI-R092-010</t>
  </si>
  <si>
    <t>TI-R628-010</t>
  </si>
  <si>
    <t>VE-C304-L-010</t>
  </si>
  <si>
    <t>VE-C304-M-010</t>
  </si>
  <si>
    <t>FR-R38B-44-011</t>
  </si>
  <si>
    <t>FR-R38B-48-011</t>
  </si>
  <si>
    <t>FR-R38B-52-011</t>
  </si>
  <si>
    <t>HL-U509-R-011</t>
  </si>
  <si>
    <t>HL-U509-011</t>
  </si>
  <si>
    <t>LJ-0192-S-011</t>
  </si>
  <si>
    <t>LJ-0192-M-011</t>
  </si>
  <si>
    <t>LJ-0192-X-011</t>
  </si>
  <si>
    <t>PD-M282-011</t>
  </si>
  <si>
    <t>PD-M340-011</t>
  </si>
  <si>
    <t>PD-M562-011</t>
  </si>
  <si>
    <t>PD-R347-011</t>
  </si>
  <si>
    <t>SA-M198-011</t>
  </si>
  <si>
    <t>SA-M237-011</t>
  </si>
  <si>
    <t>SA-M687-011</t>
  </si>
  <si>
    <t>SA-R127-011</t>
  </si>
  <si>
    <t>SA-R430-011</t>
  </si>
  <si>
    <t>SA-R522-011</t>
  </si>
  <si>
    <t>SE-M798-011</t>
  </si>
  <si>
    <t>SE-M940-011</t>
  </si>
  <si>
    <t>TI-R092-011</t>
  </si>
  <si>
    <t>TI-R628-011</t>
  </si>
  <si>
    <t>VE-C304-L-011</t>
  </si>
  <si>
    <t>VE-C304-M-011</t>
  </si>
  <si>
    <t>FR-R38B-44-012</t>
  </si>
  <si>
    <t>FR-R38B-48-012</t>
  </si>
  <si>
    <t>FR-R38B-52-012</t>
  </si>
  <si>
    <t>HL-U509-R-012</t>
  </si>
  <si>
    <t>HL-U509-012</t>
  </si>
  <si>
    <t>LJ-0192-S-012</t>
  </si>
  <si>
    <t>LJ-0192-M-012</t>
  </si>
  <si>
    <t>LJ-0192-X-012</t>
  </si>
  <si>
    <t>PD-M282-012</t>
  </si>
  <si>
    <t>PD-M340-012</t>
  </si>
  <si>
    <t>PD-M562-012</t>
  </si>
  <si>
    <t>PD-R347-012</t>
  </si>
  <si>
    <t>SA-M198-012</t>
  </si>
  <si>
    <t>SA-M237-012</t>
  </si>
  <si>
    <t>SA-M687-012</t>
  </si>
  <si>
    <t>SA-R127-012</t>
  </si>
  <si>
    <t>SA-R430-012</t>
  </si>
  <si>
    <t>SA-R522-012</t>
  </si>
  <si>
    <t>SE-M798-012</t>
  </si>
  <si>
    <t>SE-M940-012</t>
  </si>
  <si>
    <t>TI-R092-012</t>
  </si>
  <si>
    <t>TI-R628-012</t>
  </si>
  <si>
    <t>VE-C304-L-012</t>
  </si>
  <si>
    <t>VE-C304-M-012</t>
  </si>
  <si>
    <t>FR-R38B-44-013</t>
  </si>
  <si>
    <t>FR-R38B-48-013</t>
  </si>
  <si>
    <t>FR-R38B-52-013</t>
  </si>
  <si>
    <t>HL-U509-R-013</t>
  </si>
  <si>
    <t>HL-U509-013</t>
  </si>
  <si>
    <t>Order</t>
  </si>
  <si>
    <t>Quantity</t>
  </si>
  <si>
    <t>Order Date</t>
  </si>
  <si>
    <t>Due Date</t>
  </si>
  <si>
    <t>Overdue Parts</t>
  </si>
  <si>
    <t>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</si>
</sst>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medium">
        <color indexed="64"/>
      </left>
      <right/>
      <top/>
      <bottom style="thin">
        <color theme="5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0" borderId="3" applyNumberFormat="0" applyFill="0" applyAlignment="0" applyProtection="0"/>
  </cellStyleXfs>
  <cellXfs count="33">
    <xf numFmtId="0" fontId="0" fillId="0" borderId="0" xfId="0"/>
    <xf numFmtId="0" fontId="1" fillId="0" borderId="0" xfId="1"/>
    <xf numFmtId="0" fontId="0" fillId="0" borderId="4" xfId="0" applyBorder="1"/>
    <xf numFmtId="3" fontId="0" fillId="0" borderId="4" xfId="0" applyNumberFormat="1" applyBorder="1"/>
    <xf numFmtId="0" fontId="0" fillId="0" borderId="0" xfId="0" applyBorder="1"/>
    <xf numFmtId="3" fontId="0" fillId="0" borderId="0" xfId="0" applyNumberFormat="1" applyBorder="1"/>
    <xf numFmtId="0" fontId="0" fillId="0" borderId="6" xfId="0" applyBorder="1"/>
    <xf numFmtId="0" fontId="6" fillId="0" borderId="5" xfId="0" applyFont="1" applyBorder="1"/>
    <xf numFmtId="0" fontId="3" fillId="0" borderId="6" xfId="3" applyBorder="1"/>
    <xf numFmtId="38" fontId="0" fillId="0" borderId="4" xfId="0" applyNumberFormat="1" applyBorder="1"/>
    <xf numFmtId="0" fontId="0" fillId="0" borderId="4" xfId="0" applyNumberFormat="1" applyBorder="1"/>
    <xf numFmtId="0" fontId="2" fillId="0" borderId="0" xfId="2" applyBorder="1"/>
    <xf numFmtId="0" fontId="6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0" applyNumberFormat="1" applyAlignment="1">
      <alignment horizontal="left"/>
    </xf>
    <xf numFmtId="0" fontId="6" fillId="0" borderId="7" xfId="0" applyFont="1" applyBorder="1" applyAlignment="1">
      <alignment horizontal="left"/>
    </xf>
    <xf numFmtId="0" fontId="4" fillId="2" borderId="0" xfId="4"/>
    <xf numFmtId="0" fontId="0" fillId="0" borderId="8" xfId="0" applyBorder="1"/>
    <xf numFmtId="0" fontId="0" fillId="0" borderId="8" xfId="0" applyBorder="1" applyAlignment="1">
      <alignment horizontal="left" indent="1"/>
    </xf>
    <xf numFmtId="14" fontId="0" fillId="0" borderId="8" xfId="0" applyNumberFormat="1" applyBorder="1"/>
    <xf numFmtId="0" fontId="0" fillId="0" borderId="9" xfId="0" applyBorder="1"/>
    <xf numFmtId="0" fontId="0" fillId="0" borderId="9" xfId="0" applyBorder="1" applyAlignment="1">
      <alignment horizontal="left" indent="1"/>
    </xf>
    <xf numFmtId="14" fontId="0" fillId="0" borderId="9" xfId="0" applyNumberFormat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14" fontId="0" fillId="0" borderId="10" xfId="0" applyNumberFormat="1" applyBorder="1"/>
    <xf numFmtId="0" fontId="2" fillId="0" borderId="1" xfId="2" applyAlignment="1">
      <alignment horizontal="center"/>
    </xf>
    <xf numFmtId="0" fontId="8" fillId="3" borderId="12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0" fillId="4" borderId="0" xfId="0" applyFill="1"/>
  </cellXfs>
  <cellStyles count="6">
    <cellStyle name="Heading 1" xfId="2" builtinId="16"/>
    <cellStyle name="Heading 2" xfId="3" builtinId="17"/>
    <cellStyle name="Linked Cell" xfId="5" builtinId="24"/>
    <cellStyle name="Neutral" xfId="4" builtinId="28"/>
    <cellStyle name="Normal" xfId="0" builtinId="0"/>
    <cellStyle name="Title" xfId="1" builtinId="15"/>
  </cellStyles>
  <dxfs count="18">
    <dxf>
      <border>
        <bottom style="thin">
          <color theme="5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3" formatCode="#,##0"/>
    </dxf>
    <dxf>
      <numFmt numFmtId="6" formatCode="#,##0_);[Red]\(#,##0\)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theme="5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54003572-2AB2-4AE5-A19B-596FDC044B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A3CCB-59FC-4A64-B2EA-DC63CC2A836F}" name="Table1" displayName="Table1" ref="A3:F10" totalsRowShown="0" headerRowDxfId="15" headerRowBorderDxfId="16" tableBorderDxfId="17">
  <autoFilter ref="A3:F10" xr:uid="{BC2A3CCB-59FC-4A64-B2EA-DC63CC2A8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57A7DD5-45B7-4E26-8D11-A26DC635BBBD}" name="Location"/>
    <tableColumn id="2" xr3:uid="{C950951A-8179-4E7B-9540-81514BEC40EC}" name="Quarter 1" dataDxfId="14"/>
    <tableColumn id="3" xr3:uid="{E7703A4D-92AD-4236-9F76-BFDCD3396215}" name="Quarter 2" dataDxfId="13"/>
    <tableColumn id="4" xr3:uid="{3A109FA3-17E3-4D0B-969F-E97EA915CFE0}" name="Quarter 3" dataDxfId="12"/>
    <tableColumn id="5" xr3:uid="{3B43FED2-F438-43D5-85C6-F71BBC05D4C6}" name="Quarter 4" dataDxfId="10"/>
    <tableColumn id="6" xr3:uid="{6976E075-60B3-4CAB-BFB4-89CE445DE887}" name="Total Units" dataDxfId="11">
      <calculatedColumnFormula>SUM(B4:D4)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39888-A393-4201-8F59-57AD6DC1105C}" name="Table2" displayName="Table2" ref="A3:I307">
  <autoFilter ref="A3:I307" xr:uid="{7A039888-A393-4201-8F59-57AD6DC11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A704103-B66F-4F1A-AFB7-2DFA42BF71F5}" name="Part Number" totalsRowLabel="Total"/>
    <tableColumn id="2" xr3:uid="{70BA3C6F-55CE-4E8F-9BBE-0AD0EF7E782C}" name="Color"/>
    <tableColumn id="3" xr3:uid="{40F8DAAE-F960-4604-9F18-BC407556CA7D}" name="In Stock"/>
    <tableColumn id="4" xr3:uid="{E091CB96-F1B6-4204-97A0-09ABFB04E41F}" name="Reorder Point"/>
    <tableColumn id="5" xr3:uid="{B5D038D2-3E47-4F41-AA5E-D000784CF094}" name="Cost" dataDxfId="9"/>
    <tableColumn id="6" xr3:uid="{4601D3D1-1D45-402B-9947-84772F6A7FBD}" name="List Price" dataDxfId="8"/>
    <tableColumn id="7" xr3:uid="{ED680A5C-D152-4335-B35B-4EB5F07506C7}" name="Size"/>
    <tableColumn id="8" xr3:uid="{343DB10B-9F78-4698-92A9-01C166D8FFE1}" name="Weight"/>
    <tableColumn id="9" xr3:uid="{834EC97B-2424-4422-AB3E-6955E44F2162}" name="Days to Build" totalsRowFunction="sum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2C90D1-005E-4FA9-B136-D94BE888A5A7}" name="Table3" displayName="Table3" ref="A3:E21" totalsRowShown="0" headerRowDxfId="2" headerRowBorderDxfId="0" tableBorderDxfId="1" headerRowCellStyle="Linked Cell">
  <autoFilter ref="A3:E21" xr:uid="{C02C90D1-005E-4FA9-B136-D94BE888A5A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3E64D1F-C7DF-4206-A88B-C2F8BA7E39A2}" name="Order" dataDxfId="7"/>
    <tableColumn id="2" xr3:uid="{243828E9-3BE1-43B1-B9C3-7A683B9641A4}" name="Part Number" dataDxfId="6"/>
    <tableColumn id="3" xr3:uid="{6CDACA55-6E41-46AE-9C59-A276E647B93F}" name="Quantity" dataDxfId="5"/>
    <tableColumn id="4" xr3:uid="{22F549AC-B15B-47CA-AD33-4EE67931C936}" name="Order Date" dataDxfId="4"/>
    <tableColumn id="5" xr3:uid="{5C2DC8E2-9D2B-43C8-8866-0B0491A0020F}" name="Due Date" dataDxfId="3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1" sqref="H11"/>
    </sheetView>
  </sheetViews>
  <sheetFormatPr defaultRowHeight="15" x14ac:dyDescent="0.25"/>
  <cols>
    <col min="1" max="1" width="22.85546875" bestFit="1" customWidth="1"/>
    <col min="2" max="2" width="11.42578125" customWidth="1"/>
    <col min="3" max="3" width="11.5703125" customWidth="1"/>
    <col min="4" max="5" width="11.42578125" customWidth="1"/>
    <col min="6" max="6" width="13.140625" customWidth="1"/>
  </cols>
  <sheetData>
    <row r="1" spans="1:6" ht="23.25" x14ac:dyDescent="0.35">
      <c r="A1" s="1" t="s">
        <v>0</v>
      </c>
    </row>
    <row r="2" spans="1:6" ht="17.25" x14ac:dyDescent="0.3">
      <c r="A2" s="8" t="s">
        <v>1</v>
      </c>
      <c r="B2" s="6"/>
      <c r="C2" s="6"/>
      <c r="D2" s="6"/>
      <c r="E2" s="6"/>
      <c r="F2" s="6"/>
    </row>
    <row r="3" spans="1:6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x14ac:dyDescent="0.25">
      <c r="A4" s="2" t="s">
        <v>8</v>
      </c>
      <c r="B4" s="2">
        <v>960</v>
      </c>
      <c r="C4" s="3">
        <v>1003</v>
      </c>
      <c r="D4" s="10">
        <v>1169</v>
      </c>
      <c r="E4" s="10">
        <v>1224</v>
      </c>
      <c r="F4" s="9">
        <f>SUM(B4:D4)</f>
        <v>3132</v>
      </c>
    </row>
    <row r="5" spans="1:6" x14ac:dyDescent="0.25">
      <c r="A5" s="4" t="s">
        <v>9</v>
      </c>
      <c r="B5" s="5">
        <v>1080</v>
      </c>
      <c r="C5" s="5">
        <v>1265</v>
      </c>
      <c r="D5" s="5">
        <v>1461</v>
      </c>
      <c r="E5" s="5">
        <v>1687</v>
      </c>
      <c r="F5" s="9">
        <f>SUM(B5:D5)</f>
        <v>3806</v>
      </c>
    </row>
    <row r="6" spans="1:6" x14ac:dyDescent="0.25">
      <c r="A6" s="4" t="s">
        <v>10</v>
      </c>
      <c r="B6" s="5">
        <v>1200</v>
      </c>
      <c r="C6" s="5">
        <v>1438</v>
      </c>
      <c r="D6" s="5">
        <v>1576</v>
      </c>
      <c r="E6" s="5">
        <v>1674</v>
      </c>
      <c r="F6" s="9">
        <f>SUM(B6:D6)</f>
        <v>4214</v>
      </c>
    </row>
    <row r="7" spans="1:6" x14ac:dyDescent="0.25">
      <c r="A7" s="4" t="s">
        <v>11</v>
      </c>
      <c r="B7" s="5">
        <v>1200</v>
      </c>
      <c r="C7" s="5">
        <v>1302</v>
      </c>
      <c r="D7" s="5">
        <v>1410</v>
      </c>
      <c r="E7" s="5">
        <v>1464</v>
      </c>
      <c r="F7" s="9">
        <f>SUM(B7:D7)</f>
        <v>3912</v>
      </c>
    </row>
    <row r="8" spans="1:6" x14ac:dyDescent="0.25">
      <c r="A8" s="4" t="s">
        <v>12</v>
      </c>
      <c r="B8" s="4">
        <v>800</v>
      </c>
      <c r="C8" s="4">
        <v>917</v>
      </c>
      <c r="D8" s="4">
        <v>967</v>
      </c>
      <c r="E8" s="5">
        <v>1021</v>
      </c>
      <c r="F8" s="9">
        <f>SUM(B8:D8)</f>
        <v>2684</v>
      </c>
    </row>
    <row r="9" spans="1:6" x14ac:dyDescent="0.25">
      <c r="A9" s="4" t="s">
        <v>13</v>
      </c>
      <c r="B9" s="5">
        <v>1200</v>
      </c>
      <c r="C9" s="5">
        <v>1266</v>
      </c>
      <c r="D9" s="5">
        <v>1447</v>
      </c>
      <c r="E9" s="5">
        <v>1468</v>
      </c>
      <c r="F9" s="9">
        <f>SUM(B9:D9)</f>
        <v>3913</v>
      </c>
    </row>
    <row r="10" spans="1:6" x14ac:dyDescent="0.25">
      <c r="A10" s="4" t="s">
        <v>14</v>
      </c>
      <c r="B10" s="5">
        <v>1200</v>
      </c>
      <c r="C10" s="5">
        <v>1251</v>
      </c>
      <c r="D10" s="5">
        <v>1340</v>
      </c>
      <c r="E10" s="5">
        <v>1555</v>
      </c>
      <c r="F10" s="9">
        <f>SUM(B10:D10)</f>
        <v>3791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30F-F15A-48EF-8B85-0F19956CB473}">
  <dimension ref="A1:G10"/>
  <sheetViews>
    <sheetView workbookViewId="0">
      <selection activeCell="A3" sqref="A3:G3"/>
    </sheetView>
  </sheetViews>
  <sheetFormatPr defaultRowHeight="15" x14ac:dyDescent="0.25"/>
  <cols>
    <col min="1" max="1" width="13.7109375" customWidth="1"/>
  </cols>
  <sheetData>
    <row r="1" spans="1:7" ht="23.25" x14ac:dyDescent="0.35">
      <c r="A1" s="1" t="s">
        <v>0</v>
      </c>
    </row>
    <row r="2" spans="1:7" ht="19.5" x14ac:dyDescent="0.3">
      <c r="A2" s="11" t="s">
        <v>15</v>
      </c>
    </row>
    <row r="3" spans="1:7" x14ac:dyDescent="0.25">
      <c r="A3" s="12" t="s">
        <v>2</v>
      </c>
      <c r="B3" s="12">
        <v>2022</v>
      </c>
      <c r="C3" s="12">
        <v>2026</v>
      </c>
      <c r="D3" s="12">
        <v>2027</v>
      </c>
      <c r="E3" s="12">
        <v>2028</v>
      </c>
      <c r="F3" s="12">
        <v>2029</v>
      </c>
      <c r="G3" s="12">
        <v>2030</v>
      </c>
    </row>
    <row r="4" spans="1:7" x14ac:dyDescent="0.25">
      <c r="A4" s="13" t="s">
        <v>8</v>
      </c>
      <c r="B4" s="13">
        <v>4356</v>
      </c>
      <c r="C4" s="13">
        <v>5009</v>
      </c>
      <c r="D4" s="13">
        <v>5761</v>
      </c>
      <c r="E4" s="13">
        <v>6625</v>
      </c>
      <c r="F4" s="13">
        <v>7619</v>
      </c>
      <c r="G4" s="13">
        <v>8761</v>
      </c>
    </row>
    <row r="5" spans="1:7" x14ac:dyDescent="0.25">
      <c r="A5" s="14" t="s">
        <v>9</v>
      </c>
      <c r="B5" s="14">
        <v>5493</v>
      </c>
      <c r="C5" s="14">
        <v>5823</v>
      </c>
      <c r="D5" s="14">
        <v>6172</v>
      </c>
      <c r="E5" s="14">
        <v>6542</v>
      </c>
      <c r="F5" s="14">
        <v>6935</v>
      </c>
      <c r="G5" s="14">
        <v>7351</v>
      </c>
    </row>
    <row r="6" spans="1:7" x14ac:dyDescent="0.25">
      <c r="A6" s="14" t="s">
        <v>10</v>
      </c>
      <c r="B6" s="14">
        <v>5888</v>
      </c>
      <c r="C6" s="14">
        <v>6182</v>
      </c>
      <c r="D6" s="14">
        <v>6492</v>
      </c>
      <c r="E6" s="14">
        <v>6816</v>
      </c>
      <c r="F6" s="14">
        <v>7157</v>
      </c>
      <c r="G6" s="14">
        <v>7515</v>
      </c>
    </row>
    <row r="7" spans="1:7" x14ac:dyDescent="0.25">
      <c r="A7" s="14" t="s">
        <v>11</v>
      </c>
      <c r="B7" s="14">
        <v>5376</v>
      </c>
      <c r="C7" s="14">
        <v>5591</v>
      </c>
      <c r="D7" s="14">
        <v>5815</v>
      </c>
      <c r="E7" s="14">
        <v>6047</v>
      </c>
      <c r="F7" s="14">
        <v>6289</v>
      </c>
      <c r="G7" s="14">
        <v>6541</v>
      </c>
    </row>
    <row r="8" spans="1:7" x14ac:dyDescent="0.25">
      <c r="A8" s="14" t="s">
        <v>12</v>
      </c>
      <c r="B8" s="14">
        <v>3705</v>
      </c>
      <c r="C8" s="14"/>
      <c r="D8" s="14"/>
      <c r="E8" s="14"/>
      <c r="F8" s="14"/>
      <c r="G8" s="14"/>
    </row>
    <row r="9" spans="1:7" x14ac:dyDescent="0.25">
      <c r="A9" s="14" t="s">
        <v>13</v>
      </c>
      <c r="B9" s="14">
        <v>5381</v>
      </c>
      <c r="C9" s="14">
        <v>5650</v>
      </c>
      <c r="D9" s="14">
        <v>5933</v>
      </c>
      <c r="E9" s="14">
        <v>6229</v>
      </c>
      <c r="F9" s="14">
        <v>6541</v>
      </c>
      <c r="G9" s="14">
        <v>6868</v>
      </c>
    </row>
    <row r="10" spans="1:7" x14ac:dyDescent="0.25">
      <c r="A10" s="14" t="s">
        <v>14</v>
      </c>
      <c r="B10" s="14">
        <v>5346</v>
      </c>
      <c r="C10" s="14">
        <v>5774</v>
      </c>
      <c r="D10" s="14">
        <v>6236</v>
      </c>
      <c r="E10" s="14">
        <v>6734</v>
      </c>
      <c r="F10" s="14">
        <v>7273</v>
      </c>
      <c r="G10" s="14">
        <v>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552F-9FF7-4249-8AAA-5D8BBBADA6B7}">
  <dimension ref="A1:K307"/>
  <sheetViews>
    <sheetView workbookViewId="0">
      <selection activeCell="K14" sqref="K14"/>
    </sheetView>
  </sheetViews>
  <sheetFormatPr defaultRowHeight="15" x14ac:dyDescent="0.25"/>
  <cols>
    <col min="1" max="1" width="22.85546875" bestFit="1" customWidth="1"/>
    <col min="2" max="2" width="7.85546875" customWidth="1"/>
    <col min="3" max="3" width="10" customWidth="1"/>
    <col min="4" max="4" width="15.42578125" customWidth="1"/>
    <col min="5" max="5" width="8.28515625" bestFit="1" customWidth="1"/>
    <col min="6" max="6" width="11" customWidth="1"/>
    <col min="7" max="7" width="6.7109375" customWidth="1"/>
    <col min="8" max="8" width="9.5703125" customWidth="1"/>
    <col min="9" max="9" width="14.5703125" customWidth="1"/>
    <col min="11" max="11" width="22.85546875" customWidth="1"/>
  </cols>
  <sheetData>
    <row r="1" spans="1:11" x14ac:dyDescent="0.25">
      <c r="A1" t="s">
        <v>0</v>
      </c>
    </row>
    <row r="2" spans="1:11" ht="17.25" x14ac:dyDescent="0.3">
      <c r="A2" t="s">
        <v>59</v>
      </c>
      <c r="K2" s="8" t="s">
        <v>89</v>
      </c>
    </row>
    <row r="3" spans="1:1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K3" s="18"/>
    </row>
    <row r="4" spans="1:11" x14ac:dyDescent="0.25">
      <c r="A4" t="s">
        <v>69</v>
      </c>
      <c r="B4" t="s">
        <v>70</v>
      </c>
      <c r="C4">
        <v>500</v>
      </c>
      <c r="D4">
        <v>375</v>
      </c>
      <c r="E4" s="15">
        <v>204.63</v>
      </c>
      <c r="F4" s="15">
        <v>337.22</v>
      </c>
      <c r="G4">
        <v>44</v>
      </c>
      <c r="H4">
        <v>2.3199999999999998</v>
      </c>
      <c r="I4">
        <v>1</v>
      </c>
    </row>
    <row r="5" spans="1:11" x14ac:dyDescent="0.25">
      <c r="A5" t="s">
        <v>71</v>
      </c>
      <c r="B5" t="s">
        <v>70</v>
      </c>
      <c r="C5">
        <v>500</v>
      </c>
      <c r="D5">
        <v>375</v>
      </c>
      <c r="E5" s="15">
        <v>204.63</v>
      </c>
      <c r="F5" s="15">
        <v>337.22</v>
      </c>
      <c r="G5">
        <v>48</v>
      </c>
      <c r="H5">
        <v>2.36</v>
      </c>
      <c r="I5">
        <v>1</v>
      </c>
    </row>
    <row r="6" spans="1:11" x14ac:dyDescent="0.25">
      <c r="A6" t="s">
        <v>72</v>
      </c>
      <c r="B6" t="s">
        <v>70</v>
      </c>
      <c r="C6">
        <v>500</v>
      </c>
      <c r="D6">
        <v>375</v>
      </c>
      <c r="E6" s="15">
        <v>204.63</v>
      </c>
      <c r="F6" s="15">
        <v>337.22</v>
      </c>
      <c r="G6">
        <v>52</v>
      </c>
      <c r="H6">
        <v>2.4</v>
      </c>
      <c r="I6">
        <v>1</v>
      </c>
    </row>
    <row r="7" spans="1:11" x14ac:dyDescent="0.25">
      <c r="A7" t="s">
        <v>73</v>
      </c>
      <c r="B7" t="s">
        <v>74</v>
      </c>
      <c r="C7">
        <v>100</v>
      </c>
      <c r="D7">
        <v>75</v>
      </c>
      <c r="E7" s="15">
        <v>13.09</v>
      </c>
      <c r="F7" s="15">
        <v>35</v>
      </c>
      <c r="I7">
        <v>0</v>
      </c>
    </row>
    <row r="8" spans="1:11" x14ac:dyDescent="0.25">
      <c r="A8" t="s">
        <v>75</v>
      </c>
      <c r="C8">
        <v>100</v>
      </c>
      <c r="D8">
        <v>75</v>
      </c>
      <c r="E8" s="15">
        <v>13.09</v>
      </c>
      <c r="F8" s="15">
        <v>35</v>
      </c>
      <c r="I8">
        <v>0</v>
      </c>
    </row>
    <row r="9" spans="1:11" x14ac:dyDescent="0.25">
      <c r="A9" t="s">
        <v>76</v>
      </c>
      <c r="B9" t="s">
        <v>77</v>
      </c>
      <c r="C9">
        <v>4</v>
      </c>
      <c r="D9">
        <v>3</v>
      </c>
      <c r="E9" s="15">
        <v>38.49</v>
      </c>
      <c r="F9" s="15">
        <v>49.99</v>
      </c>
      <c r="G9" t="s">
        <v>78</v>
      </c>
      <c r="I9">
        <v>0</v>
      </c>
    </row>
    <row r="10" spans="1:11" x14ac:dyDescent="0.25">
      <c r="A10" t="s">
        <v>79</v>
      </c>
      <c r="B10" t="s">
        <v>77</v>
      </c>
      <c r="C10">
        <v>4</v>
      </c>
      <c r="D10">
        <v>3</v>
      </c>
      <c r="E10" s="15">
        <v>38.49</v>
      </c>
      <c r="F10" s="15">
        <v>49.99</v>
      </c>
      <c r="G10" t="s">
        <v>80</v>
      </c>
      <c r="I10">
        <v>0</v>
      </c>
    </row>
    <row r="11" spans="1:11" x14ac:dyDescent="0.25">
      <c r="A11" t="s">
        <v>81</v>
      </c>
      <c r="B11" t="s">
        <v>77</v>
      </c>
      <c r="C11">
        <v>4</v>
      </c>
      <c r="D11">
        <v>3</v>
      </c>
      <c r="E11" s="15">
        <v>38.49</v>
      </c>
      <c r="F11" s="15">
        <v>49.99</v>
      </c>
      <c r="G11" t="s">
        <v>82</v>
      </c>
      <c r="I11">
        <v>0</v>
      </c>
    </row>
    <row r="12" spans="1:11" x14ac:dyDescent="0.25">
      <c r="A12" t="s">
        <v>83</v>
      </c>
      <c r="B12" t="s">
        <v>84</v>
      </c>
      <c r="C12">
        <v>500</v>
      </c>
      <c r="D12">
        <v>375</v>
      </c>
      <c r="E12" s="15">
        <v>17.98</v>
      </c>
      <c r="F12" s="15">
        <v>40.49</v>
      </c>
      <c r="H12">
        <v>218</v>
      </c>
      <c r="I12">
        <v>1</v>
      </c>
    </row>
    <row r="13" spans="1:11" x14ac:dyDescent="0.25">
      <c r="A13" t="s">
        <v>85</v>
      </c>
      <c r="B13" t="s">
        <v>84</v>
      </c>
      <c r="C13">
        <v>500</v>
      </c>
      <c r="D13">
        <v>375</v>
      </c>
      <c r="E13" s="15">
        <v>27.57</v>
      </c>
      <c r="F13" s="15">
        <v>62.09</v>
      </c>
      <c r="H13">
        <v>215</v>
      </c>
      <c r="I13">
        <v>1</v>
      </c>
    </row>
    <row r="14" spans="1:11" x14ac:dyDescent="0.25">
      <c r="A14" t="s">
        <v>86</v>
      </c>
      <c r="B14" t="s">
        <v>84</v>
      </c>
      <c r="C14">
        <v>500</v>
      </c>
      <c r="D14">
        <v>375</v>
      </c>
      <c r="E14" s="15">
        <v>35.96</v>
      </c>
      <c r="F14" s="15">
        <v>80.989999999999995</v>
      </c>
      <c r="H14">
        <v>185</v>
      </c>
      <c r="I14">
        <v>1</v>
      </c>
    </row>
    <row r="15" spans="1:11" x14ac:dyDescent="0.25">
      <c r="A15" t="s">
        <v>108</v>
      </c>
      <c r="B15" t="s">
        <v>70</v>
      </c>
      <c r="C15">
        <v>500</v>
      </c>
      <c r="D15">
        <v>375</v>
      </c>
      <c r="E15">
        <v>204.63</v>
      </c>
      <c r="F15">
        <v>337.22</v>
      </c>
      <c r="G15">
        <v>44</v>
      </c>
      <c r="H15">
        <v>2.3199999999999998</v>
      </c>
      <c r="I15">
        <v>1</v>
      </c>
    </row>
    <row r="16" spans="1:11" x14ac:dyDescent="0.25">
      <c r="A16" t="s">
        <v>109</v>
      </c>
      <c r="B16" t="s">
        <v>70</v>
      </c>
      <c r="C16">
        <v>500</v>
      </c>
      <c r="D16">
        <v>375</v>
      </c>
      <c r="E16">
        <v>204.63</v>
      </c>
      <c r="F16">
        <v>337.22</v>
      </c>
      <c r="G16">
        <v>48</v>
      </c>
      <c r="H16">
        <v>2.36</v>
      </c>
      <c r="I16">
        <v>1</v>
      </c>
    </row>
    <row r="17" spans="1:9" x14ac:dyDescent="0.25">
      <c r="A17" t="s">
        <v>110</v>
      </c>
      <c r="B17" t="s">
        <v>70</v>
      </c>
      <c r="C17">
        <v>500</v>
      </c>
      <c r="D17">
        <v>375</v>
      </c>
      <c r="E17">
        <v>204.63</v>
      </c>
      <c r="F17">
        <v>337.22</v>
      </c>
      <c r="G17">
        <v>52</v>
      </c>
      <c r="H17">
        <v>2.4</v>
      </c>
      <c r="I17">
        <v>1</v>
      </c>
    </row>
    <row r="18" spans="1:9" x14ac:dyDescent="0.25">
      <c r="A18" t="s">
        <v>111</v>
      </c>
      <c r="B18" t="s">
        <v>74</v>
      </c>
      <c r="C18">
        <v>100</v>
      </c>
      <c r="D18">
        <v>75</v>
      </c>
      <c r="E18">
        <v>13.09</v>
      </c>
      <c r="F18">
        <v>35</v>
      </c>
      <c r="I18">
        <v>0</v>
      </c>
    </row>
    <row r="19" spans="1:9" x14ac:dyDescent="0.25">
      <c r="A19" t="s">
        <v>112</v>
      </c>
      <c r="C19">
        <v>100</v>
      </c>
      <c r="D19">
        <v>75</v>
      </c>
      <c r="E19">
        <v>13.09</v>
      </c>
      <c r="F19">
        <v>35</v>
      </c>
      <c r="I19">
        <v>0</v>
      </c>
    </row>
    <row r="20" spans="1:9" x14ac:dyDescent="0.25">
      <c r="A20" t="s">
        <v>113</v>
      </c>
      <c r="B20" t="s">
        <v>77</v>
      </c>
      <c r="C20">
        <v>4</v>
      </c>
      <c r="D20">
        <v>3</v>
      </c>
      <c r="E20">
        <v>38.49</v>
      </c>
      <c r="F20">
        <v>49.99</v>
      </c>
      <c r="G20" t="s">
        <v>78</v>
      </c>
      <c r="I20">
        <v>0</v>
      </c>
    </row>
    <row r="21" spans="1:9" x14ac:dyDescent="0.25">
      <c r="A21" t="s">
        <v>114</v>
      </c>
      <c r="B21" t="s">
        <v>77</v>
      </c>
      <c r="C21">
        <v>4</v>
      </c>
      <c r="D21">
        <v>3</v>
      </c>
      <c r="E21">
        <v>38.49</v>
      </c>
      <c r="F21">
        <v>49.99</v>
      </c>
      <c r="G21" t="s">
        <v>80</v>
      </c>
      <c r="I21">
        <v>0</v>
      </c>
    </row>
    <row r="22" spans="1:9" x14ac:dyDescent="0.25">
      <c r="A22" t="s">
        <v>115</v>
      </c>
      <c r="B22" t="s">
        <v>77</v>
      </c>
      <c r="C22">
        <v>4</v>
      </c>
      <c r="D22">
        <v>3</v>
      </c>
      <c r="E22">
        <v>38.49</v>
      </c>
      <c r="F22">
        <v>49.99</v>
      </c>
      <c r="G22" t="s">
        <v>82</v>
      </c>
      <c r="I22">
        <v>0</v>
      </c>
    </row>
    <row r="23" spans="1:9" x14ac:dyDescent="0.25">
      <c r="A23" t="s">
        <v>116</v>
      </c>
      <c r="B23" t="s">
        <v>84</v>
      </c>
      <c r="C23">
        <v>500</v>
      </c>
      <c r="D23">
        <v>375</v>
      </c>
      <c r="E23">
        <v>17.98</v>
      </c>
      <c r="F23">
        <v>40.49</v>
      </c>
      <c r="H23">
        <v>218</v>
      </c>
      <c r="I23">
        <v>1</v>
      </c>
    </row>
    <row r="24" spans="1:9" x14ac:dyDescent="0.25">
      <c r="A24" t="s">
        <v>117</v>
      </c>
      <c r="B24" t="s">
        <v>84</v>
      </c>
      <c r="C24">
        <v>500</v>
      </c>
      <c r="D24">
        <v>375</v>
      </c>
      <c r="E24">
        <v>27.57</v>
      </c>
      <c r="F24">
        <v>62.09</v>
      </c>
      <c r="H24">
        <v>215</v>
      </c>
      <c r="I24">
        <v>1</v>
      </c>
    </row>
    <row r="25" spans="1:9" x14ac:dyDescent="0.25">
      <c r="A25" t="s">
        <v>118</v>
      </c>
      <c r="B25" t="s">
        <v>84</v>
      </c>
      <c r="C25">
        <v>500</v>
      </c>
      <c r="D25">
        <v>375</v>
      </c>
      <c r="E25">
        <v>35.96</v>
      </c>
      <c r="F25">
        <v>80.989999999999995</v>
      </c>
      <c r="H25">
        <v>185</v>
      </c>
      <c r="I25">
        <v>1</v>
      </c>
    </row>
    <row r="26" spans="1:9" x14ac:dyDescent="0.25">
      <c r="A26" t="s">
        <v>119</v>
      </c>
      <c r="B26" t="s">
        <v>84</v>
      </c>
      <c r="C26">
        <v>500</v>
      </c>
      <c r="D26">
        <v>375</v>
      </c>
      <c r="E26">
        <v>17.98</v>
      </c>
      <c r="F26">
        <v>40.49</v>
      </c>
      <c r="H26">
        <v>189</v>
      </c>
      <c r="I26">
        <v>1</v>
      </c>
    </row>
    <row r="27" spans="1:9" x14ac:dyDescent="0.25">
      <c r="A27" t="s">
        <v>120</v>
      </c>
      <c r="C27">
        <v>500</v>
      </c>
      <c r="D27">
        <v>375</v>
      </c>
      <c r="E27">
        <v>98.77</v>
      </c>
      <c r="F27">
        <v>133.34</v>
      </c>
      <c r="I27">
        <v>1</v>
      </c>
    </row>
    <row r="28" spans="1:9" x14ac:dyDescent="0.25">
      <c r="A28" t="s">
        <v>121</v>
      </c>
      <c r="C28">
        <v>500</v>
      </c>
      <c r="D28">
        <v>375</v>
      </c>
      <c r="E28">
        <v>108.99</v>
      </c>
      <c r="F28">
        <v>147.13999999999999</v>
      </c>
      <c r="I28">
        <v>1</v>
      </c>
    </row>
    <row r="29" spans="1:9" x14ac:dyDescent="0.25">
      <c r="A29" t="s">
        <v>122</v>
      </c>
      <c r="C29">
        <v>500</v>
      </c>
      <c r="D29">
        <v>375</v>
      </c>
      <c r="E29">
        <v>145.87</v>
      </c>
      <c r="F29">
        <v>196.92</v>
      </c>
      <c r="I29">
        <v>1</v>
      </c>
    </row>
    <row r="30" spans="1:9" x14ac:dyDescent="0.25">
      <c r="A30" t="s">
        <v>123</v>
      </c>
      <c r="C30">
        <v>500</v>
      </c>
      <c r="D30">
        <v>375</v>
      </c>
      <c r="E30">
        <v>98.77</v>
      </c>
      <c r="F30">
        <v>133.34</v>
      </c>
      <c r="I30">
        <v>1</v>
      </c>
    </row>
    <row r="31" spans="1:9" x14ac:dyDescent="0.25">
      <c r="A31" t="s">
        <v>124</v>
      </c>
      <c r="C31">
        <v>500</v>
      </c>
      <c r="D31">
        <v>375</v>
      </c>
      <c r="E31">
        <v>108.99</v>
      </c>
      <c r="F31">
        <v>147.13999999999999</v>
      </c>
      <c r="I31">
        <v>1</v>
      </c>
    </row>
    <row r="32" spans="1:9" x14ac:dyDescent="0.25">
      <c r="A32" t="s">
        <v>125</v>
      </c>
      <c r="C32">
        <v>500</v>
      </c>
      <c r="D32">
        <v>375</v>
      </c>
      <c r="E32">
        <v>145.87</v>
      </c>
      <c r="F32">
        <v>196.92</v>
      </c>
      <c r="I32">
        <v>1</v>
      </c>
    </row>
    <row r="33" spans="1:9" x14ac:dyDescent="0.25">
      <c r="A33" t="s">
        <v>126</v>
      </c>
      <c r="C33">
        <v>500</v>
      </c>
      <c r="D33">
        <v>375</v>
      </c>
      <c r="E33">
        <v>17.38</v>
      </c>
      <c r="F33">
        <v>39.14</v>
      </c>
      <c r="I33">
        <v>1</v>
      </c>
    </row>
    <row r="34" spans="1:9" x14ac:dyDescent="0.25">
      <c r="A34" t="s">
        <v>127</v>
      </c>
      <c r="C34">
        <v>500</v>
      </c>
      <c r="D34">
        <v>375</v>
      </c>
      <c r="E34">
        <v>23.37</v>
      </c>
      <c r="F34">
        <v>52.64</v>
      </c>
      <c r="I34">
        <v>1</v>
      </c>
    </row>
    <row r="35" spans="1:9" x14ac:dyDescent="0.25">
      <c r="A35" t="s">
        <v>128</v>
      </c>
      <c r="C35">
        <v>500</v>
      </c>
      <c r="D35">
        <v>375</v>
      </c>
      <c r="E35">
        <v>8.0399999999999991</v>
      </c>
      <c r="F35">
        <v>21.49</v>
      </c>
      <c r="I35">
        <v>0</v>
      </c>
    </row>
    <row r="36" spans="1:9" x14ac:dyDescent="0.25">
      <c r="A36" t="s">
        <v>129</v>
      </c>
      <c r="C36">
        <v>500</v>
      </c>
      <c r="D36">
        <v>375</v>
      </c>
      <c r="E36">
        <v>9.35</v>
      </c>
      <c r="F36">
        <v>24.99</v>
      </c>
      <c r="I36">
        <v>0</v>
      </c>
    </row>
    <row r="37" spans="1:9" x14ac:dyDescent="0.25">
      <c r="A37" t="s">
        <v>130</v>
      </c>
      <c r="B37" t="s">
        <v>87</v>
      </c>
      <c r="C37">
        <v>4</v>
      </c>
      <c r="D37">
        <v>3</v>
      </c>
      <c r="E37">
        <v>23.75</v>
      </c>
      <c r="F37">
        <v>63.5</v>
      </c>
      <c r="G37" t="s">
        <v>88</v>
      </c>
      <c r="I37">
        <v>0</v>
      </c>
    </row>
    <row r="38" spans="1:9" x14ac:dyDescent="0.25">
      <c r="A38" t="s">
        <v>131</v>
      </c>
      <c r="B38" t="s">
        <v>87</v>
      </c>
      <c r="C38">
        <v>4</v>
      </c>
      <c r="D38">
        <v>3</v>
      </c>
      <c r="E38">
        <v>23.75</v>
      </c>
      <c r="F38">
        <v>63.5</v>
      </c>
      <c r="G38" t="s">
        <v>80</v>
      </c>
      <c r="I38">
        <v>0</v>
      </c>
    </row>
    <row r="39" spans="1:9" x14ac:dyDescent="0.25">
      <c r="A39" t="s">
        <v>132</v>
      </c>
      <c r="B39" t="s">
        <v>70</v>
      </c>
      <c r="C39">
        <v>500</v>
      </c>
      <c r="D39">
        <v>375</v>
      </c>
      <c r="E39">
        <v>204.63</v>
      </c>
      <c r="F39">
        <v>337.22</v>
      </c>
      <c r="G39">
        <v>44</v>
      </c>
      <c r="H39">
        <v>2.3199999999999998</v>
      </c>
      <c r="I39">
        <v>1</v>
      </c>
    </row>
    <row r="40" spans="1:9" x14ac:dyDescent="0.25">
      <c r="A40" t="s">
        <v>133</v>
      </c>
      <c r="B40" t="s">
        <v>70</v>
      </c>
      <c r="C40">
        <v>500</v>
      </c>
      <c r="D40">
        <v>375</v>
      </c>
      <c r="E40">
        <v>204.63</v>
      </c>
      <c r="F40">
        <v>337.22</v>
      </c>
      <c r="G40">
        <v>48</v>
      </c>
      <c r="H40">
        <v>2.36</v>
      </c>
      <c r="I40">
        <v>1</v>
      </c>
    </row>
    <row r="41" spans="1:9" x14ac:dyDescent="0.25">
      <c r="A41" t="s">
        <v>134</v>
      </c>
      <c r="B41" t="s">
        <v>70</v>
      </c>
      <c r="C41">
        <v>500</v>
      </c>
      <c r="D41">
        <v>375</v>
      </c>
      <c r="E41">
        <v>204.63</v>
      </c>
      <c r="F41">
        <v>337.22</v>
      </c>
      <c r="G41">
        <v>52</v>
      </c>
      <c r="H41">
        <v>2.4</v>
      </c>
      <c r="I41">
        <v>1</v>
      </c>
    </row>
    <row r="42" spans="1:9" x14ac:dyDescent="0.25">
      <c r="A42" t="s">
        <v>135</v>
      </c>
      <c r="B42" t="s">
        <v>74</v>
      </c>
      <c r="C42">
        <v>100</v>
      </c>
      <c r="D42">
        <v>75</v>
      </c>
      <c r="E42">
        <v>13.09</v>
      </c>
      <c r="F42">
        <v>35</v>
      </c>
      <c r="I42">
        <v>0</v>
      </c>
    </row>
    <row r="43" spans="1:9" x14ac:dyDescent="0.25">
      <c r="A43" t="s">
        <v>136</v>
      </c>
      <c r="C43">
        <v>100</v>
      </c>
      <c r="D43">
        <v>75</v>
      </c>
      <c r="E43">
        <v>13.09</v>
      </c>
      <c r="F43">
        <v>35</v>
      </c>
      <c r="I43">
        <v>0</v>
      </c>
    </row>
    <row r="44" spans="1:9" x14ac:dyDescent="0.25">
      <c r="A44" t="s">
        <v>137</v>
      </c>
      <c r="B44" t="s">
        <v>77</v>
      </c>
      <c r="C44">
        <v>4</v>
      </c>
      <c r="D44">
        <v>3</v>
      </c>
      <c r="E44">
        <v>38.49</v>
      </c>
      <c r="F44">
        <v>49.99</v>
      </c>
      <c r="G44" t="s">
        <v>78</v>
      </c>
      <c r="I44">
        <v>0</v>
      </c>
    </row>
    <row r="45" spans="1:9" x14ac:dyDescent="0.25">
      <c r="A45" t="s">
        <v>138</v>
      </c>
      <c r="B45" t="s">
        <v>77</v>
      </c>
      <c r="C45">
        <v>4</v>
      </c>
      <c r="D45">
        <v>3</v>
      </c>
      <c r="E45">
        <v>38.49</v>
      </c>
      <c r="F45">
        <v>49.99</v>
      </c>
      <c r="G45" t="s">
        <v>80</v>
      </c>
      <c r="I45">
        <v>0</v>
      </c>
    </row>
    <row r="46" spans="1:9" x14ac:dyDescent="0.25">
      <c r="A46" t="s">
        <v>139</v>
      </c>
      <c r="B46" t="s">
        <v>77</v>
      </c>
      <c r="C46">
        <v>4</v>
      </c>
      <c r="D46">
        <v>3</v>
      </c>
      <c r="E46">
        <v>38.49</v>
      </c>
      <c r="F46">
        <v>49.99</v>
      </c>
      <c r="G46" t="s">
        <v>82</v>
      </c>
      <c r="I46">
        <v>0</v>
      </c>
    </row>
    <row r="47" spans="1:9" x14ac:dyDescent="0.25">
      <c r="A47" t="s">
        <v>140</v>
      </c>
      <c r="B47" t="s">
        <v>84</v>
      </c>
      <c r="C47">
        <v>500</v>
      </c>
      <c r="D47">
        <v>375</v>
      </c>
      <c r="E47">
        <v>17.98</v>
      </c>
      <c r="F47">
        <v>40.49</v>
      </c>
      <c r="H47">
        <v>218</v>
      </c>
      <c r="I47">
        <v>1</v>
      </c>
    </row>
    <row r="48" spans="1:9" x14ac:dyDescent="0.25">
      <c r="A48" t="s">
        <v>141</v>
      </c>
      <c r="B48" t="s">
        <v>84</v>
      </c>
      <c r="C48">
        <v>500</v>
      </c>
      <c r="D48">
        <v>375</v>
      </c>
      <c r="E48">
        <v>27.57</v>
      </c>
      <c r="F48">
        <v>62.09</v>
      </c>
      <c r="H48">
        <v>215</v>
      </c>
      <c r="I48">
        <v>1</v>
      </c>
    </row>
    <row r="49" spans="1:9" x14ac:dyDescent="0.25">
      <c r="A49" t="s">
        <v>142</v>
      </c>
      <c r="B49" t="s">
        <v>84</v>
      </c>
      <c r="C49">
        <v>500</v>
      </c>
      <c r="D49">
        <v>375</v>
      </c>
      <c r="E49">
        <v>35.96</v>
      </c>
      <c r="F49">
        <v>80.989999999999995</v>
      </c>
      <c r="H49">
        <v>185</v>
      </c>
      <c r="I49">
        <v>1</v>
      </c>
    </row>
    <row r="50" spans="1:9" x14ac:dyDescent="0.25">
      <c r="A50" t="s">
        <v>143</v>
      </c>
      <c r="B50" t="s">
        <v>84</v>
      </c>
      <c r="C50">
        <v>500</v>
      </c>
      <c r="D50">
        <v>375</v>
      </c>
      <c r="E50">
        <v>17.98</v>
      </c>
      <c r="F50">
        <v>40.49</v>
      </c>
      <c r="H50">
        <v>189</v>
      </c>
      <c r="I50">
        <v>1</v>
      </c>
    </row>
    <row r="51" spans="1:9" x14ac:dyDescent="0.25">
      <c r="A51" t="s">
        <v>144</v>
      </c>
      <c r="C51">
        <v>500</v>
      </c>
      <c r="D51">
        <v>375</v>
      </c>
      <c r="E51">
        <v>98.77</v>
      </c>
      <c r="F51">
        <v>133.34</v>
      </c>
      <c r="I51">
        <v>1</v>
      </c>
    </row>
    <row r="52" spans="1:9" x14ac:dyDescent="0.25">
      <c r="A52" t="s">
        <v>145</v>
      </c>
      <c r="C52">
        <v>500</v>
      </c>
      <c r="D52">
        <v>375</v>
      </c>
      <c r="E52">
        <v>108.99</v>
      </c>
      <c r="F52">
        <v>147.13999999999999</v>
      </c>
      <c r="I52">
        <v>1</v>
      </c>
    </row>
    <row r="53" spans="1:9" x14ac:dyDescent="0.25">
      <c r="A53" t="s">
        <v>146</v>
      </c>
      <c r="C53">
        <v>500</v>
      </c>
      <c r="D53">
        <v>375</v>
      </c>
      <c r="E53">
        <v>145.87</v>
      </c>
      <c r="F53">
        <v>196.92</v>
      </c>
      <c r="I53">
        <v>1</v>
      </c>
    </row>
    <row r="54" spans="1:9" x14ac:dyDescent="0.25">
      <c r="A54" t="s">
        <v>147</v>
      </c>
      <c r="C54">
        <v>500</v>
      </c>
      <c r="D54">
        <v>375</v>
      </c>
      <c r="E54">
        <v>98.77</v>
      </c>
      <c r="F54">
        <v>133.34</v>
      </c>
      <c r="I54">
        <v>1</v>
      </c>
    </row>
    <row r="55" spans="1:9" x14ac:dyDescent="0.25">
      <c r="A55" t="s">
        <v>148</v>
      </c>
      <c r="C55">
        <v>500</v>
      </c>
      <c r="D55">
        <v>375</v>
      </c>
      <c r="E55">
        <v>108.99</v>
      </c>
      <c r="F55">
        <v>147.13999999999999</v>
      </c>
      <c r="I55">
        <v>1</v>
      </c>
    </row>
    <row r="56" spans="1:9" x14ac:dyDescent="0.25">
      <c r="A56" t="s">
        <v>149</v>
      </c>
      <c r="C56">
        <v>500</v>
      </c>
      <c r="D56">
        <v>375</v>
      </c>
      <c r="E56">
        <v>145.87</v>
      </c>
      <c r="F56">
        <v>196.92</v>
      </c>
      <c r="I56">
        <v>1</v>
      </c>
    </row>
    <row r="57" spans="1:9" x14ac:dyDescent="0.25">
      <c r="A57" t="s">
        <v>150</v>
      </c>
      <c r="C57">
        <v>500</v>
      </c>
      <c r="D57">
        <v>375</v>
      </c>
      <c r="E57">
        <v>17.38</v>
      </c>
      <c r="F57">
        <v>39.14</v>
      </c>
      <c r="I57">
        <v>1</v>
      </c>
    </row>
    <row r="58" spans="1:9" x14ac:dyDescent="0.25">
      <c r="A58" t="s">
        <v>151</v>
      </c>
      <c r="C58">
        <v>500</v>
      </c>
      <c r="D58">
        <v>375</v>
      </c>
      <c r="E58">
        <v>23.37</v>
      </c>
      <c r="F58">
        <v>52.64</v>
      </c>
      <c r="I58">
        <v>1</v>
      </c>
    </row>
    <row r="59" spans="1:9" x14ac:dyDescent="0.25">
      <c r="A59" t="s">
        <v>152</v>
      </c>
      <c r="C59">
        <v>500</v>
      </c>
      <c r="D59">
        <v>375</v>
      </c>
      <c r="E59">
        <v>8.0399999999999991</v>
      </c>
      <c r="F59">
        <v>21.49</v>
      </c>
      <c r="I59">
        <v>0</v>
      </c>
    </row>
    <row r="60" spans="1:9" x14ac:dyDescent="0.25">
      <c r="A60" t="s">
        <v>153</v>
      </c>
      <c r="C60">
        <v>500</v>
      </c>
      <c r="D60">
        <v>375</v>
      </c>
      <c r="E60">
        <v>9.35</v>
      </c>
      <c r="F60">
        <v>24.99</v>
      </c>
      <c r="I60">
        <v>0</v>
      </c>
    </row>
    <row r="61" spans="1:9" x14ac:dyDescent="0.25">
      <c r="A61" t="s">
        <v>154</v>
      </c>
      <c r="B61" t="s">
        <v>87</v>
      </c>
      <c r="C61">
        <v>4</v>
      </c>
      <c r="D61">
        <v>3</v>
      </c>
      <c r="E61">
        <v>23.75</v>
      </c>
      <c r="F61">
        <v>63.5</v>
      </c>
      <c r="G61" t="s">
        <v>88</v>
      </c>
      <c r="I61">
        <v>0</v>
      </c>
    </row>
    <row r="62" spans="1:9" x14ac:dyDescent="0.25">
      <c r="A62" t="s">
        <v>155</v>
      </c>
      <c r="B62" t="s">
        <v>87</v>
      </c>
      <c r="C62">
        <v>4</v>
      </c>
      <c r="D62">
        <v>3</v>
      </c>
      <c r="E62">
        <v>23.75</v>
      </c>
      <c r="F62">
        <v>63.5</v>
      </c>
      <c r="G62" t="s">
        <v>80</v>
      </c>
      <c r="I62">
        <v>0</v>
      </c>
    </row>
    <row r="63" spans="1:9" x14ac:dyDescent="0.25">
      <c r="A63" t="s">
        <v>156</v>
      </c>
      <c r="B63" t="s">
        <v>70</v>
      </c>
      <c r="C63">
        <v>500</v>
      </c>
      <c r="D63">
        <v>375</v>
      </c>
      <c r="E63">
        <v>204.63</v>
      </c>
      <c r="F63">
        <v>337.22</v>
      </c>
      <c r="G63">
        <v>44</v>
      </c>
      <c r="H63">
        <v>2.3199999999999998</v>
      </c>
      <c r="I63">
        <v>1</v>
      </c>
    </row>
    <row r="64" spans="1:9" x14ac:dyDescent="0.25">
      <c r="A64" t="s">
        <v>157</v>
      </c>
      <c r="B64" t="s">
        <v>70</v>
      </c>
      <c r="C64">
        <v>500</v>
      </c>
      <c r="D64">
        <v>375</v>
      </c>
      <c r="E64">
        <v>204.63</v>
      </c>
      <c r="F64">
        <v>337.22</v>
      </c>
      <c r="G64">
        <v>48</v>
      </c>
      <c r="H64">
        <v>2.36</v>
      </c>
      <c r="I64">
        <v>1</v>
      </c>
    </row>
    <row r="65" spans="1:9" x14ac:dyDescent="0.25">
      <c r="A65" t="s">
        <v>158</v>
      </c>
      <c r="B65" t="s">
        <v>70</v>
      </c>
      <c r="C65">
        <v>500</v>
      </c>
      <c r="D65">
        <v>375</v>
      </c>
      <c r="E65">
        <v>204.63</v>
      </c>
      <c r="F65">
        <v>337.22</v>
      </c>
      <c r="G65">
        <v>52</v>
      </c>
      <c r="H65">
        <v>2.4</v>
      </c>
      <c r="I65">
        <v>1</v>
      </c>
    </row>
    <row r="66" spans="1:9" x14ac:dyDescent="0.25">
      <c r="A66" t="s">
        <v>159</v>
      </c>
      <c r="B66" t="s">
        <v>74</v>
      </c>
      <c r="C66">
        <v>100</v>
      </c>
      <c r="D66">
        <v>75</v>
      </c>
      <c r="E66">
        <v>13.09</v>
      </c>
      <c r="F66">
        <v>35</v>
      </c>
      <c r="I66">
        <v>0</v>
      </c>
    </row>
    <row r="67" spans="1:9" x14ac:dyDescent="0.25">
      <c r="A67" t="s">
        <v>160</v>
      </c>
      <c r="C67">
        <v>100</v>
      </c>
      <c r="D67">
        <v>75</v>
      </c>
      <c r="E67">
        <v>13.09</v>
      </c>
      <c r="F67">
        <v>35</v>
      </c>
      <c r="I67">
        <v>0</v>
      </c>
    </row>
    <row r="68" spans="1:9" x14ac:dyDescent="0.25">
      <c r="A68" t="s">
        <v>161</v>
      </c>
      <c r="B68" t="s">
        <v>77</v>
      </c>
      <c r="C68">
        <v>4</v>
      </c>
      <c r="D68">
        <v>3</v>
      </c>
      <c r="E68">
        <v>38.49</v>
      </c>
      <c r="F68">
        <v>49.99</v>
      </c>
      <c r="G68" t="s">
        <v>78</v>
      </c>
      <c r="I68">
        <v>0</v>
      </c>
    </row>
    <row r="69" spans="1:9" x14ac:dyDescent="0.25">
      <c r="A69" t="s">
        <v>162</v>
      </c>
      <c r="B69" t="s">
        <v>77</v>
      </c>
      <c r="C69">
        <v>4</v>
      </c>
      <c r="D69">
        <v>3</v>
      </c>
      <c r="E69">
        <v>38.49</v>
      </c>
      <c r="F69">
        <v>49.99</v>
      </c>
      <c r="G69" t="s">
        <v>80</v>
      </c>
      <c r="I69">
        <v>0</v>
      </c>
    </row>
    <row r="70" spans="1:9" x14ac:dyDescent="0.25">
      <c r="A70" t="s">
        <v>163</v>
      </c>
      <c r="B70" t="s">
        <v>77</v>
      </c>
      <c r="C70">
        <v>4</v>
      </c>
      <c r="D70">
        <v>3</v>
      </c>
      <c r="E70">
        <v>38.49</v>
      </c>
      <c r="F70">
        <v>49.99</v>
      </c>
      <c r="G70" t="s">
        <v>82</v>
      </c>
      <c r="I70">
        <v>0</v>
      </c>
    </row>
    <row r="71" spans="1:9" x14ac:dyDescent="0.25">
      <c r="A71" t="s">
        <v>164</v>
      </c>
      <c r="B71" t="s">
        <v>84</v>
      </c>
      <c r="C71">
        <v>500</v>
      </c>
      <c r="D71">
        <v>375</v>
      </c>
      <c r="E71">
        <v>17.98</v>
      </c>
      <c r="F71">
        <v>40.49</v>
      </c>
      <c r="H71">
        <v>218</v>
      </c>
      <c r="I71">
        <v>1</v>
      </c>
    </row>
    <row r="72" spans="1:9" x14ac:dyDescent="0.25">
      <c r="A72" t="s">
        <v>165</v>
      </c>
      <c r="B72" t="s">
        <v>84</v>
      </c>
      <c r="C72">
        <v>500</v>
      </c>
      <c r="D72">
        <v>375</v>
      </c>
      <c r="E72">
        <v>27.57</v>
      </c>
      <c r="F72">
        <v>62.09</v>
      </c>
      <c r="H72">
        <v>215</v>
      </c>
      <c r="I72">
        <v>1</v>
      </c>
    </row>
    <row r="73" spans="1:9" x14ac:dyDescent="0.25">
      <c r="A73" t="s">
        <v>166</v>
      </c>
      <c r="B73" t="s">
        <v>84</v>
      </c>
      <c r="C73">
        <v>500</v>
      </c>
      <c r="D73">
        <v>375</v>
      </c>
      <c r="E73">
        <v>35.96</v>
      </c>
      <c r="F73">
        <v>80.989999999999995</v>
      </c>
      <c r="H73">
        <v>185</v>
      </c>
      <c r="I73">
        <v>1</v>
      </c>
    </row>
    <row r="74" spans="1:9" x14ac:dyDescent="0.25">
      <c r="A74" t="s">
        <v>167</v>
      </c>
      <c r="B74" t="s">
        <v>84</v>
      </c>
      <c r="C74">
        <v>500</v>
      </c>
      <c r="D74">
        <v>375</v>
      </c>
      <c r="E74">
        <v>17.98</v>
      </c>
      <c r="F74">
        <v>40.49</v>
      </c>
      <c r="H74">
        <v>189</v>
      </c>
      <c r="I74">
        <v>1</v>
      </c>
    </row>
    <row r="75" spans="1:9" x14ac:dyDescent="0.25">
      <c r="A75" t="s">
        <v>168</v>
      </c>
      <c r="C75">
        <v>500</v>
      </c>
      <c r="D75">
        <v>375</v>
      </c>
      <c r="E75">
        <v>98.77</v>
      </c>
      <c r="F75">
        <v>133.34</v>
      </c>
      <c r="I75">
        <v>1</v>
      </c>
    </row>
    <row r="76" spans="1:9" x14ac:dyDescent="0.25">
      <c r="A76" t="s">
        <v>169</v>
      </c>
      <c r="C76">
        <v>500</v>
      </c>
      <c r="D76">
        <v>375</v>
      </c>
      <c r="E76">
        <v>108.99</v>
      </c>
      <c r="F76">
        <v>147.13999999999999</v>
      </c>
      <c r="I76">
        <v>1</v>
      </c>
    </row>
    <row r="77" spans="1:9" x14ac:dyDescent="0.25">
      <c r="A77" t="s">
        <v>170</v>
      </c>
      <c r="C77">
        <v>500</v>
      </c>
      <c r="D77">
        <v>375</v>
      </c>
      <c r="E77">
        <v>145.87</v>
      </c>
      <c r="F77">
        <v>196.92</v>
      </c>
      <c r="I77">
        <v>1</v>
      </c>
    </row>
    <row r="78" spans="1:9" x14ac:dyDescent="0.25">
      <c r="A78" t="s">
        <v>171</v>
      </c>
      <c r="C78">
        <v>500</v>
      </c>
      <c r="D78">
        <v>375</v>
      </c>
      <c r="E78">
        <v>98.77</v>
      </c>
      <c r="F78">
        <v>133.34</v>
      </c>
      <c r="I78">
        <v>1</v>
      </c>
    </row>
    <row r="79" spans="1:9" x14ac:dyDescent="0.25">
      <c r="A79" t="s">
        <v>172</v>
      </c>
      <c r="C79">
        <v>500</v>
      </c>
      <c r="D79">
        <v>375</v>
      </c>
      <c r="E79">
        <v>108.99</v>
      </c>
      <c r="F79">
        <v>147.13999999999999</v>
      </c>
      <c r="I79">
        <v>1</v>
      </c>
    </row>
    <row r="80" spans="1:9" x14ac:dyDescent="0.25">
      <c r="A80" t="s">
        <v>173</v>
      </c>
      <c r="C80">
        <v>500</v>
      </c>
      <c r="D80">
        <v>375</v>
      </c>
      <c r="E80">
        <v>145.87</v>
      </c>
      <c r="F80">
        <v>196.92</v>
      </c>
      <c r="I80">
        <v>1</v>
      </c>
    </row>
    <row r="81" spans="1:9" x14ac:dyDescent="0.25">
      <c r="A81" t="s">
        <v>174</v>
      </c>
      <c r="C81">
        <v>500</v>
      </c>
      <c r="D81">
        <v>375</v>
      </c>
      <c r="E81">
        <v>17.38</v>
      </c>
      <c r="F81">
        <v>39.14</v>
      </c>
      <c r="I81">
        <v>1</v>
      </c>
    </row>
    <row r="82" spans="1:9" x14ac:dyDescent="0.25">
      <c r="A82" t="s">
        <v>175</v>
      </c>
      <c r="C82">
        <v>500</v>
      </c>
      <c r="D82">
        <v>375</v>
      </c>
      <c r="E82">
        <v>23.37</v>
      </c>
      <c r="F82">
        <v>52.64</v>
      </c>
      <c r="I82">
        <v>1</v>
      </c>
    </row>
    <row r="83" spans="1:9" x14ac:dyDescent="0.25">
      <c r="A83" t="s">
        <v>176</v>
      </c>
      <c r="C83">
        <v>500</v>
      </c>
      <c r="D83">
        <v>375</v>
      </c>
      <c r="E83">
        <v>8.0399999999999991</v>
      </c>
      <c r="F83">
        <v>21.49</v>
      </c>
      <c r="I83">
        <v>0</v>
      </c>
    </row>
    <row r="84" spans="1:9" x14ac:dyDescent="0.25">
      <c r="A84" t="s">
        <v>177</v>
      </c>
      <c r="C84">
        <v>500</v>
      </c>
      <c r="D84">
        <v>375</v>
      </c>
      <c r="E84">
        <v>9.35</v>
      </c>
      <c r="F84">
        <v>24.99</v>
      </c>
      <c r="I84">
        <v>0</v>
      </c>
    </row>
    <row r="85" spans="1:9" x14ac:dyDescent="0.25">
      <c r="A85" t="s">
        <v>178</v>
      </c>
      <c r="B85" t="s">
        <v>87</v>
      </c>
      <c r="C85">
        <v>4</v>
      </c>
      <c r="D85">
        <v>3</v>
      </c>
      <c r="E85">
        <v>23.75</v>
      </c>
      <c r="F85">
        <v>63.5</v>
      </c>
      <c r="G85" t="s">
        <v>88</v>
      </c>
      <c r="I85">
        <v>0</v>
      </c>
    </row>
    <row r="86" spans="1:9" x14ac:dyDescent="0.25">
      <c r="A86" t="s">
        <v>179</v>
      </c>
      <c r="B86" t="s">
        <v>87</v>
      </c>
      <c r="C86">
        <v>4</v>
      </c>
      <c r="D86">
        <v>3</v>
      </c>
      <c r="E86">
        <v>23.75</v>
      </c>
      <c r="F86">
        <v>63.5</v>
      </c>
      <c r="G86" t="s">
        <v>80</v>
      </c>
      <c r="I86">
        <v>0</v>
      </c>
    </row>
    <row r="87" spans="1:9" x14ac:dyDescent="0.25">
      <c r="A87" t="s">
        <v>180</v>
      </c>
      <c r="B87" t="s">
        <v>70</v>
      </c>
      <c r="C87">
        <v>500</v>
      </c>
      <c r="D87">
        <v>375</v>
      </c>
      <c r="E87">
        <v>204.63</v>
      </c>
      <c r="F87">
        <v>337.22</v>
      </c>
      <c r="G87">
        <v>44</v>
      </c>
      <c r="H87">
        <v>2.3199999999999998</v>
      </c>
      <c r="I87">
        <v>1</v>
      </c>
    </row>
    <row r="88" spans="1:9" x14ac:dyDescent="0.25">
      <c r="A88" t="s">
        <v>181</v>
      </c>
      <c r="B88" t="s">
        <v>70</v>
      </c>
      <c r="C88">
        <v>500</v>
      </c>
      <c r="D88">
        <v>375</v>
      </c>
      <c r="E88">
        <v>204.63</v>
      </c>
      <c r="F88">
        <v>337.22</v>
      </c>
      <c r="G88">
        <v>48</v>
      </c>
      <c r="H88">
        <v>2.36</v>
      </c>
      <c r="I88">
        <v>1</v>
      </c>
    </row>
    <row r="89" spans="1:9" x14ac:dyDescent="0.25">
      <c r="A89" t="s">
        <v>182</v>
      </c>
      <c r="B89" t="s">
        <v>70</v>
      </c>
      <c r="C89">
        <v>500</v>
      </c>
      <c r="D89">
        <v>375</v>
      </c>
      <c r="E89">
        <v>204.63</v>
      </c>
      <c r="F89">
        <v>337.22</v>
      </c>
      <c r="G89">
        <v>52</v>
      </c>
      <c r="H89">
        <v>2.4</v>
      </c>
      <c r="I89">
        <v>1</v>
      </c>
    </row>
    <row r="90" spans="1:9" x14ac:dyDescent="0.25">
      <c r="A90" t="s">
        <v>183</v>
      </c>
      <c r="B90" t="s">
        <v>74</v>
      </c>
      <c r="C90">
        <v>100</v>
      </c>
      <c r="D90">
        <v>75</v>
      </c>
      <c r="E90">
        <v>13.09</v>
      </c>
      <c r="F90">
        <v>35</v>
      </c>
      <c r="I90">
        <v>0</v>
      </c>
    </row>
    <row r="91" spans="1:9" x14ac:dyDescent="0.25">
      <c r="A91" t="s">
        <v>184</v>
      </c>
      <c r="C91">
        <v>100</v>
      </c>
      <c r="D91">
        <v>75</v>
      </c>
      <c r="E91">
        <v>13.09</v>
      </c>
      <c r="F91">
        <v>35</v>
      </c>
      <c r="I91">
        <v>0</v>
      </c>
    </row>
    <row r="92" spans="1:9" x14ac:dyDescent="0.25">
      <c r="A92" t="s">
        <v>185</v>
      </c>
      <c r="B92" t="s">
        <v>77</v>
      </c>
      <c r="C92">
        <v>4</v>
      </c>
      <c r="D92">
        <v>3</v>
      </c>
      <c r="E92">
        <v>38.49</v>
      </c>
      <c r="F92">
        <v>49.99</v>
      </c>
      <c r="G92" t="s">
        <v>78</v>
      </c>
      <c r="I92">
        <v>0</v>
      </c>
    </row>
    <row r="93" spans="1:9" x14ac:dyDescent="0.25">
      <c r="A93" t="s">
        <v>186</v>
      </c>
      <c r="B93" t="s">
        <v>77</v>
      </c>
      <c r="C93">
        <v>4</v>
      </c>
      <c r="D93">
        <v>3</v>
      </c>
      <c r="E93">
        <v>38.49</v>
      </c>
      <c r="F93">
        <v>49.99</v>
      </c>
      <c r="G93" t="s">
        <v>80</v>
      </c>
      <c r="I93">
        <v>0</v>
      </c>
    </row>
    <row r="94" spans="1:9" x14ac:dyDescent="0.25">
      <c r="A94" t="s">
        <v>187</v>
      </c>
      <c r="B94" t="s">
        <v>77</v>
      </c>
      <c r="C94">
        <v>4</v>
      </c>
      <c r="D94">
        <v>3</v>
      </c>
      <c r="E94">
        <v>38.49</v>
      </c>
      <c r="F94">
        <v>49.99</v>
      </c>
      <c r="G94" t="s">
        <v>82</v>
      </c>
      <c r="I94">
        <v>0</v>
      </c>
    </row>
    <row r="95" spans="1:9" x14ac:dyDescent="0.25">
      <c r="A95" t="s">
        <v>188</v>
      </c>
      <c r="B95" t="s">
        <v>84</v>
      </c>
      <c r="C95">
        <v>500</v>
      </c>
      <c r="D95">
        <v>375</v>
      </c>
      <c r="E95">
        <v>17.98</v>
      </c>
      <c r="F95">
        <v>40.49</v>
      </c>
      <c r="H95">
        <v>218</v>
      </c>
      <c r="I95">
        <v>1</v>
      </c>
    </row>
    <row r="96" spans="1:9" x14ac:dyDescent="0.25">
      <c r="A96" t="s">
        <v>189</v>
      </c>
      <c r="B96" t="s">
        <v>84</v>
      </c>
      <c r="C96">
        <v>500</v>
      </c>
      <c r="D96">
        <v>375</v>
      </c>
      <c r="E96">
        <v>27.57</v>
      </c>
      <c r="F96">
        <v>62.09</v>
      </c>
      <c r="H96">
        <v>215</v>
      </c>
      <c r="I96">
        <v>1</v>
      </c>
    </row>
    <row r="97" spans="1:9" x14ac:dyDescent="0.25">
      <c r="A97" t="s">
        <v>190</v>
      </c>
      <c r="B97" t="s">
        <v>84</v>
      </c>
      <c r="C97">
        <v>500</v>
      </c>
      <c r="D97">
        <v>375</v>
      </c>
      <c r="E97">
        <v>35.96</v>
      </c>
      <c r="F97">
        <v>80.989999999999995</v>
      </c>
      <c r="H97">
        <v>185</v>
      </c>
      <c r="I97">
        <v>1</v>
      </c>
    </row>
    <row r="98" spans="1:9" x14ac:dyDescent="0.25">
      <c r="A98" t="s">
        <v>191</v>
      </c>
      <c r="B98" t="s">
        <v>84</v>
      </c>
      <c r="C98">
        <v>500</v>
      </c>
      <c r="D98">
        <v>375</v>
      </c>
      <c r="E98">
        <v>17.98</v>
      </c>
      <c r="F98">
        <v>40.49</v>
      </c>
      <c r="H98">
        <v>189</v>
      </c>
      <c r="I98">
        <v>1</v>
      </c>
    </row>
    <row r="99" spans="1:9" x14ac:dyDescent="0.25">
      <c r="A99" t="s">
        <v>192</v>
      </c>
      <c r="C99">
        <v>500</v>
      </c>
      <c r="D99">
        <v>375</v>
      </c>
      <c r="E99">
        <v>98.77</v>
      </c>
      <c r="F99">
        <v>133.34</v>
      </c>
      <c r="I99">
        <v>1</v>
      </c>
    </row>
    <row r="100" spans="1:9" x14ac:dyDescent="0.25">
      <c r="A100" t="s">
        <v>193</v>
      </c>
      <c r="C100">
        <v>500</v>
      </c>
      <c r="D100">
        <v>375</v>
      </c>
      <c r="E100">
        <v>108.99</v>
      </c>
      <c r="F100">
        <v>147.13999999999999</v>
      </c>
      <c r="I100">
        <v>1</v>
      </c>
    </row>
    <row r="101" spans="1:9" x14ac:dyDescent="0.25">
      <c r="A101" t="s">
        <v>194</v>
      </c>
      <c r="C101">
        <v>500</v>
      </c>
      <c r="D101">
        <v>375</v>
      </c>
      <c r="E101">
        <v>145.87</v>
      </c>
      <c r="F101">
        <v>196.92</v>
      </c>
      <c r="I101">
        <v>1</v>
      </c>
    </row>
    <row r="102" spans="1:9" x14ac:dyDescent="0.25">
      <c r="A102" t="s">
        <v>195</v>
      </c>
      <c r="C102">
        <v>500</v>
      </c>
      <c r="D102">
        <v>375</v>
      </c>
      <c r="E102">
        <v>98.77</v>
      </c>
      <c r="F102">
        <v>133.34</v>
      </c>
      <c r="I102">
        <v>1</v>
      </c>
    </row>
    <row r="103" spans="1:9" x14ac:dyDescent="0.25">
      <c r="A103" t="s">
        <v>196</v>
      </c>
      <c r="C103">
        <v>500</v>
      </c>
      <c r="D103">
        <v>375</v>
      </c>
      <c r="E103">
        <v>108.99</v>
      </c>
      <c r="F103">
        <v>147.13999999999999</v>
      </c>
      <c r="I103">
        <v>1</v>
      </c>
    </row>
    <row r="104" spans="1:9" x14ac:dyDescent="0.25">
      <c r="A104" t="s">
        <v>197</v>
      </c>
      <c r="C104">
        <v>500</v>
      </c>
      <c r="D104">
        <v>375</v>
      </c>
      <c r="E104">
        <v>145.87</v>
      </c>
      <c r="F104">
        <v>196.92</v>
      </c>
      <c r="I104">
        <v>1</v>
      </c>
    </row>
    <row r="105" spans="1:9" x14ac:dyDescent="0.25">
      <c r="A105" t="s">
        <v>198</v>
      </c>
      <c r="C105">
        <v>500</v>
      </c>
      <c r="D105">
        <v>375</v>
      </c>
      <c r="E105">
        <v>17.38</v>
      </c>
      <c r="F105">
        <v>39.14</v>
      </c>
      <c r="I105">
        <v>1</v>
      </c>
    </row>
    <row r="106" spans="1:9" x14ac:dyDescent="0.25">
      <c r="A106" t="s">
        <v>199</v>
      </c>
      <c r="C106">
        <v>500</v>
      </c>
      <c r="D106">
        <v>375</v>
      </c>
      <c r="E106">
        <v>23.37</v>
      </c>
      <c r="F106">
        <v>52.64</v>
      </c>
      <c r="I106">
        <v>1</v>
      </c>
    </row>
    <row r="107" spans="1:9" x14ac:dyDescent="0.25">
      <c r="A107" t="s">
        <v>200</v>
      </c>
      <c r="C107">
        <v>500</v>
      </c>
      <c r="D107">
        <v>375</v>
      </c>
      <c r="E107">
        <v>8.0399999999999991</v>
      </c>
      <c r="F107">
        <v>21.49</v>
      </c>
      <c r="I107">
        <v>6</v>
      </c>
    </row>
    <row r="108" spans="1:9" x14ac:dyDescent="0.25">
      <c r="A108" t="s">
        <v>201</v>
      </c>
      <c r="C108">
        <v>500</v>
      </c>
      <c r="D108">
        <v>375</v>
      </c>
      <c r="E108">
        <v>9.35</v>
      </c>
      <c r="F108">
        <v>24.99</v>
      </c>
      <c r="I108">
        <v>6</v>
      </c>
    </row>
    <row r="109" spans="1:9" x14ac:dyDescent="0.25">
      <c r="A109" t="s">
        <v>202</v>
      </c>
      <c r="B109" t="s">
        <v>87</v>
      </c>
      <c r="C109">
        <v>4</v>
      </c>
      <c r="D109">
        <v>3</v>
      </c>
      <c r="E109">
        <v>23.75</v>
      </c>
      <c r="F109">
        <v>63.5</v>
      </c>
      <c r="G109" t="s">
        <v>88</v>
      </c>
      <c r="I109">
        <v>6</v>
      </c>
    </row>
    <row r="110" spans="1:9" x14ac:dyDescent="0.25">
      <c r="A110" t="s">
        <v>203</v>
      </c>
      <c r="B110" t="s">
        <v>87</v>
      </c>
      <c r="C110">
        <v>4</v>
      </c>
      <c r="D110">
        <v>3</v>
      </c>
      <c r="E110">
        <v>23.75</v>
      </c>
      <c r="F110">
        <v>63.5</v>
      </c>
      <c r="G110" t="s">
        <v>80</v>
      </c>
      <c r="I110">
        <v>6</v>
      </c>
    </row>
    <row r="111" spans="1:9" x14ac:dyDescent="0.25">
      <c r="A111" t="s">
        <v>204</v>
      </c>
      <c r="B111" t="s">
        <v>70</v>
      </c>
      <c r="C111">
        <v>500</v>
      </c>
      <c r="D111">
        <v>375</v>
      </c>
      <c r="E111">
        <v>204.63</v>
      </c>
      <c r="F111">
        <v>337.22</v>
      </c>
      <c r="G111">
        <v>44</v>
      </c>
      <c r="H111">
        <v>2.3199999999999998</v>
      </c>
      <c r="I111">
        <v>6</v>
      </c>
    </row>
    <row r="112" spans="1:9" x14ac:dyDescent="0.25">
      <c r="A112" t="s">
        <v>205</v>
      </c>
      <c r="B112" t="s">
        <v>70</v>
      </c>
      <c r="C112">
        <v>500</v>
      </c>
      <c r="D112">
        <v>375</v>
      </c>
      <c r="E112">
        <v>204.63</v>
      </c>
      <c r="F112">
        <v>337.22</v>
      </c>
      <c r="G112">
        <v>48</v>
      </c>
      <c r="H112">
        <v>2.36</v>
      </c>
      <c r="I112">
        <v>1</v>
      </c>
    </row>
    <row r="113" spans="1:9" x14ac:dyDescent="0.25">
      <c r="A113" t="s">
        <v>206</v>
      </c>
      <c r="B113" t="s">
        <v>70</v>
      </c>
      <c r="C113">
        <v>500</v>
      </c>
      <c r="D113">
        <v>375</v>
      </c>
      <c r="E113">
        <v>204.63</v>
      </c>
      <c r="F113">
        <v>337.22</v>
      </c>
      <c r="G113">
        <v>52</v>
      </c>
      <c r="H113">
        <v>2.4</v>
      </c>
      <c r="I113">
        <v>1</v>
      </c>
    </row>
    <row r="114" spans="1:9" x14ac:dyDescent="0.25">
      <c r="A114" t="s">
        <v>207</v>
      </c>
      <c r="B114" t="s">
        <v>74</v>
      </c>
      <c r="C114">
        <v>100</v>
      </c>
      <c r="D114">
        <v>75</v>
      </c>
      <c r="E114">
        <v>13.09</v>
      </c>
      <c r="F114">
        <v>35</v>
      </c>
      <c r="I114">
        <v>0</v>
      </c>
    </row>
    <row r="115" spans="1:9" x14ac:dyDescent="0.25">
      <c r="A115" t="s">
        <v>208</v>
      </c>
      <c r="C115">
        <v>100</v>
      </c>
      <c r="D115">
        <v>75</v>
      </c>
      <c r="E115">
        <v>13.09</v>
      </c>
      <c r="F115">
        <v>35</v>
      </c>
      <c r="I115">
        <v>0</v>
      </c>
    </row>
    <row r="116" spans="1:9" x14ac:dyDescent="0.25">
      <c r="A116" t="s">
        <v>209</v>
      </c>
      <c r="B116" t="s">
        <v>77</v>
      </c>
      <c r="C116">
        <v>4</v>
      </c>
      <c r="D116">
        <v>3</v>
      </c>
      <c r="E116">
        <v>38.49</v>
      </c>
      <c r="F116">
        <v>49.99</v>
      </c>
      <c r="G116" t="s">
        <v>78</v>
      </c>
      <c r="I116">
        <v>0</v>
      </c>
    </row>
    <row r="117" spans="1:9" x14ac:dyDescent="0.25">
      <c r="A117" t="s">
        <v>210</v>
      </c>
      <c r="B117" t="s">
        <v>77</v>
      </c>
      <c r="C117">
        <v>4</v>
      </c>
      <c r="D117">
        <v>3</v>
      </c>
      <c r="E117">
        <v>38.49</v>
      </c>
      <c r="F117">
        <v>49.99</v>
      </c>
      <c r="G117" t="s">
        <v>80</v>
      </c>
      <c r="I117">
        <v>0</v>
      </c>
    </row>
    <row r="118" spans="1:9" x14ac:dyDescent="0.25">
      <c r="A118" t="s">
        <v>211</v>
      </c>
      <c r="B118" t="s">
        <v>77</v>
      </c>
      <c r="C118">
        <v>4</v>
      </c>
      <c r="D118">
        <v>3</v>
      </c>
      <c r="E118">
        <v>38.49</v>
      </c>
      <c r="F118">
        <v>49.99</v>
      </c>
      <c r="G118" t="s">
        <v>82</v>
      </c>
      <c r="I118">
        <v>0</v>
      </c>
    </row>
    <row r="119" spans="1:9" x14ac:dyDescent="0.25">
      <c r="A119" t="s">
        <v>212</v>
      </c>
      <c r="B119" t="s">
        <v>84</v>
      </c>
      <c r="C119">
        <v>500</v>
      </c>
      <c r="D119">
        <v>375</v>
      </c>
      <c r="E119">
        <v>17.98</v>
      </c>
      <c r="F119">
        <v>40.49</v>
      </c>
      <c r="H119">
        <v>218</v>
      </c>
      <c r="I119">
        <v>1</v>
      </c>
    </row>
    <row r="120" spans="1:9" x14ac:dyDescent="0.25">
      <c r="A120" t="s">
        <v>213</v>
      </c>
      <c r="B120" t="s">
        <v>84</v>
      </c>
      <c r="C120">
        <v>500</v>
      </c>
      <c r="D120">
        <v>375</v>
      </c>
      <c r="E120">
        <v>27.57</v>
      </c>
      <c r="F120">
        <v>62.09</v>
      </c>
      <c r="H120">
        <v>215</v>
      </c>
      <c r="I120">
        <v>1</v>
      </c>
    </row>
    <row r="121" spans="1:9" x14ac:dyDescent="0.25">
      <c r="A121" t="s">
        <v>214</v>
      </c>
      <c r="B121" t="s">
        <v>84</v>
      </c>
      <c r="C121">
        <v>500</v>
      </c>
      <c r="D121">
        <v>375</v>
      </c>
      <c r="E121">
        <v>35.96</v>
      </c>
      <c r="F121">
        <v>80.989999999999995</v>
      </c>
      <c r="H121">
        <v>185</v>
      </c>
      <c r="I121">
        <v>1</v>
      </c>
    </row>
    <row r="122" spans="1:9" x14ac:dyDescent="0.25">
      <c r="A122" t="s">
        <v>215</v>
      </c>
      <c r="B122" t="s">
        <v>84</v>
      </c>
      <c r="C122">
        <v>500</v>
      </c>
      <c r="D122">
        <v>375</v>
      </c>
      <c r="E122">
        <v>17.98</v>
      </c>
      <c r="F122">
        <v>40.49</v>
      </c>
      <c r="H122">
        <v>189</v>
      </c>
      <c r="I122">
        <v>1</v>
      </c>
    </row>
    <row r="123" spans="1:9" x14ac:dyDescent="0.25">
      <c r="A123" t="s">
        <v>216</v>
      </c>
      <c r="C123">
        <v>500</v>
      </c>
      <c r="D123">
        <v>375</v>
      </c>
      <c r="E123">
        <v>98.77</v>
      </c>
      <c r="F123">
        <v>133.34</v>
      </c>
      <c r="I123">
        <v>1</v>
      </c>
    </row>
    <row r="124" spans="1:9" x14ac:dyDescent="0.25">
      <c r="A124" t="s">
        <v>217</v>
      </c>
      <c r="C124">
        <v>500</v>
      </c>
      <c r="D124">
        <v>375</v>
      </c>
      <c r="E124">
        <v>108.99</v>
      </c>
      <c r="F124">
        <v>147.13999999999999</v>
      </c>
      <c r="I124">
        <v>1</v>
      </c>
    </row>
    <row r="125" spans="1:9" x14ac:dyDescent="0.25">
      <c r="A125" t="s">
        <v>218</v>
      </c>
      <c r="C125">
        <v>500</v>
      </c>
      <c r="D125">
        <v>375</v>
      </c>
      <c r="E125">
        <v>145.87</v>
      </c>
      <c r="F125">
        <v>196.92</v>
      </c>
      <c r="I125">
        <v>1</v>
      </c>
    </row>
    <row r="126" spans="1:9" x14ac:dyDescent="0.25">
      <c r="A126" t="s">
        <v>219</v>
      </c>
      <c r="C126">
        <v>500</v>
      </c>
      <c r="D126">
        <v>375</v>
      </c>
      <c r="E126">
        <v>98.77</v>
      </c>
      <c r="F126">
        <v>133.34</v>
      </c>
      <c r="I126">
        <v>1</v>
      </c>
    </row>
    <row r="127" spans="1:9" x14ac:dyDescent="0.25">
      <c r="A127" t="s">
        <v>220</v>
      </c>
      <c r="C127">
        <v>500</v>
      </c>
      <c r="D127">
        <v>375</v>
      </c>
      <c r="E127">
        <v>108.99</v>
      </c>
      <c r="F127">
        <v>147.13999999999999</v>
      </c>
      <c r="I127">
        <v>1</v>
      </c>
    </row>
    <row r="128" spans="1:9" x14ac:dyDescent="0.25">
      <c r="A128" t="s">
        <v>221</v>
      </c>
      <c r="C128">
        <v>500</v>
      </c>
      <c r="D128">
        <v>375</v>
      </c>
      <c r="E128">
        <v>145.87</v>
      </c>
      <c r="F128">
        <v>196.92</v>
      </c>
      <c r="I128">
        <v>1</v>
      </c>
    </row>
    <row r="129" spans="1:9" x14ac:dyDescent="0.25">
      <c r="A129" t="s">
        <v>222</v>
      </c>
      <c r="C129">
        <v>500</v>
      </c>
      <c r="D129">
        <v>375</v>
      </c>
      <c r="E129">
        <v>17.38</v>
      </c>
      <c r="F129">
        <v>39.14</v>
      </c>
      <c r="I129">
        <v>1</v>
      </c>
    </row>
    <row r="130" spans="1:9" x14ac:dyDescent="0.25">
      <c r="A130" t="s">
        <v>223</v>
      </c>
      <c r="C130">
        <v>500</v>
      </c>
      <c r="D130">
        <v>375</v>
      </c>
      <c r="E130">
        <v>23.37</v>
      </c>
      <c r="F130">
        <v>52.64</v>
      </c>
      <c r="I130">
        <v>1</v>
      </c>
    </row>
    <row r="131" spans="1:9" x14ac:dyDescent="0.25">
      <c r="A131" t="s">
        <v>224</v>
      </c>
      <c r="C131">
        <v>500</v>
      </c>
      <c r="D131">
        <v>375</v>
      </c>
      <c r="E131">
        <v>8.0399999999999991</v>
      </c>
      <c r="F131">
        <v>21.49</v>
      </c>
      <c r="I131">
        <v>0</v>
      </c>
    </row>
    <row r="132" spans="1:9" x14ac:dyDescent="0.25">
      <c r="A132" t="s">
        <v>225</v>
      </c>
      <c r="C132">
        <v>500</v>
      </c>
      <c r="D132">
        <v>375</v>
      </c>
      <c r="E132">
        <v>9.35</v>
      </c>
      <c r="F132">
        <v>24.99</v>
      </c>
      <c r="I132">
        <v>0</v>
      </c>
    </row>
    <row r="133" spans="1:9" x14ac:dyDescent="0.25">
      <c r="A133" t="s">
        <v>226</v>
      </c>
      <c r="B133" t="s">
        <v>87</v>
      </c>
      <c r="C133">
        <v>4</v>
      </c>
      <c r="D133">
        <v>3</v>
      </c>
      <c r="E133">
        <v>23.75</v>
      </c>
      <c r="F133">
        <v>63.5</v>
      </c>
      <c r="G133" t="s">
        <v>88</v>
      </c>
      <c r="I133">
        <v>0</v>
      </c>
    </row>
    <row r="134" spans="1:9" x14ac:dyDescent="0.25">
      <c r="A134" t="s">
        <v>227</v>
      </c>
      <c r="B134" t="s">
        <v>87</v>
      </c>
      <c r="C134">
        <v>4</v>
      </c>
      <c r="D134">
        <v>3</v>
      </c>
      <c r="E134">
        <v>23.75</v>
      </c>
      <c r="F134">
        <v>63.5</v>
      </c>
      <c r="G134" t="s">
        <v>80</v>
      </c>
      <c r="I134">
        <v>0</v>
      </c>
    </row>
    <row r="135" spans="1:9" x14ac:dyDescent="0.25">
      <c r="A135" t="s">
        <v>228</v>
      </c>
      <c r="B135" t="s">
        <v>70</v>
      </c>
      <c r="C135">
        <v>500</v>
      </c>
      <c r="D135">
        <v>375</v>
      </c>
      <c r="E135">
        <v>204.63</v>
      </c>
      <c r="F135">
        <v>337.22</v>
      </c>
      <c r="G135">
        <v>44</v>
      </c>
      <c r="H135">
        <v>2.3199999999999998</v>
      </c>
      <c r="I135">
        <v>1</v>
      </c>
    </row>
    <row r="136" spans="1:9" x14ac:dyDescent="0.25">
      <c r="A136" t="s">
        <v>229</v>
      </c>
      <c r="B136" t="s">
        <v>70</v>
      </c>
      <c r="C136">
        <v>500</v>
      </c>
      <c r="D136">
        <v>375</v>
      </c>
      <c r="E136">
        <v>204.63</v>
      </c>
      <c r="F136">
        <v>337.22</v>
      </c>
      <c r="G136">
        <v>48</v>
      </c>
      <c r="H136">
        <v>2.36</v>
      </c>
      <c r="I136">
        <v>1</v>
      </c>
    </row>
    <row r="137" spans="1:9" x14ac:dyDescent="0.25">
      <c r="A137" t="s">
        <v>230</v>
      </c>
      <c r="B137" t="s">
        <v>70</v>
      </c>
      <c r="C137">
        <v>500</v>
      </c>
      <c r="D137">
        <v>375</v>
      </c>
      <c r="E137">
        <v>204.63</v>
      </c>
      <c r="F137">
        <v>337.22</v>
      </c>
      <c r="G137">
        <v>52</v>
      </c>
      <c r="H137">
        <v>2.4</v>
      </c>
      <c r="I137">
        <v>1</v>
      </c>
    </row>
    <row r="138" spans="1:9" x14ac:dyDescent="0.25">
      <c r="A138" t="s">
        <v>231</v>
      </c>
      <c r="B138" t="s">
        <v>74</v>
      </c>
      <c r="C138">
        <v>100</v>
      </c>
      <c r="D138">
        <v>75</v>
      </c>
      <c r="E138">
        <v>13.09</v>
      </c>
      <c r="F138">
        <v>35</v>
      </c>
      <c r="I138">
        <v>0</v>
      </c>
    </row>
    <row r="139" spans="1:9" x14ac:dyDescent="0.25">
      <c r="A139" t="s">
        <v>232</v>
      </c>
      <c r="C139">
        <v>100</v>
      </c>
      <c r="D139">
        <v>75</v>
      </c>
      <c r="E139">
        <v>13.09</v>
      </c>
      <c r="F139">
        <v>35</v>
      </c>
      <c r="I139">
        <v>0</v>
      </c>
    </row>
    <row r="140" spans="1:9" x14ac:dyDescent="0.25">
      <c r="A140" t="s">
        <v>233</v>
      </c>
      <c r="B140" t="s">
        <v>77</v>
      </c>
      <c r="C140">
        <v>4</v>
      </c>
      <c r="D140">
        <v>3</v>
      </c>
      <c r="E140">
        <v>38.49</v>
      </c>
      <c r="F140">
        <v>49.99</v>
      </c>
      <c r="G140" t="s">
        <v>78</v>
      </c>
      <c r="I140">
        <v>0</v>
      </c>
    </row>
    <row r="141" spans="1:9" x14ac:dyDescent="0.25">
      <c r="A141" t="s">
        <v>234</v>
      </c>
      <c r="B141" t="s">
        <v>77</v>
      </c>
      <c r="C141">
        <v>4</v>
      </c>
      <c r="D141">
        <v>3</v>
      </c>
      <c r="E141">
        <v>38.49</v>
      </c>
      <c r="F141">
        <v>49.99</v>
      </c>
      <c r="G141" t="s">
        <v>80</v>
      </c>
      <c r="I141">
        <v>0</v>
      </c>
    </row>
    <row r="142" spans="1:9" x14ac:dyDescent="0.25">
      <c r="A142" t="s">
        <v>235</v>
      </c>
      <c r="B142" t="s">
        <v>77</v>
      </c>
      <c r="C142">
        <v>4</v>
      </c>
      <c r="D142">
        <v>3</v>
      </c>
      <c r="E142">
        <v>38.49</v>
      </c>
      <c r="F142">
        <v>49.99</v>
      </c>
      <c r="G142" t="s">
        <v>82</v>
      </c>
      <c r="I142">
        <v>0</v>
      </c>
    </row>
    <row r="143" spans="1:9" x14ac:dyDescent="0.25">
      <c r="A143" t="s">
        <v>236</v>
      </c>
      <c r="B143" t="s">
        <v>84</v>
      </c>
      <c r="C143">
        <v>500</v>
      </c>
      <c r="D143">
        <v>375</v>
      </c>
      <c r="E143">
        <v>17.98</v>
      </c>
      <c r="F143">
        <v>40.49</v>
      </c>
      <c r="H143">
        <v>218</v>
      </c>
      <c r="I143">
        <v>1</v>
      </c>
    </row>
    <row r="144" spans="1:9" x14ac:dyDescent="0.25">
      <c r="A144" t="s">
        <v>237</v>
      </c>
      <c r="B144" t="s">
        <v>84</v>
      </c>
      <c r="C144">
        <v>500</v>
      </c>
      <c r="D144">
        <v>375</v>
      </c>
      <c r="E144">
        <v>27.57</v>
      </c>
      <c r="F144">
        <v>62.09</v>
      </c>
      <c r="H144">
        <v>215</v>
      </c>
      <c r="I144">
        <v>1</v>
      </c>
    </row>
    <row r="145" spans="1:9" x14ac:dyDescent="0.25">
      <c r="A145" t="s">
        <v>238</v>
      </c>
      <c r="B145" t="s">
        <v>84</v>
      </c>
      <c r="C145">
        <v>500</v>
      </c>
      <c r="D145">
        <v>375</v>
      </c>
      <c r="E145">
        <v>35.96</v>
      </c>
      <c r="F145">
        <v>80.989999999999995</v>
      </c>
      <c r="H145">
        <v>185</v>
      </c>
      <c r="I145">
        <v>1</v>
      </c>
    </row>
    <row r="146" spans="1:9" x14ac:dyDescent="0.25">
      <c r="A146" t="s">
        <v>239</v>
      </c>
      <c r="B146" t="s">
        <v>84</v>
      </c>
      <c r="C146">
        <v>500</v>
      </c>
      <c r="D146">
        <v>375</v>
      </c>
      <c r="E146">
        <v>17.98</v>
      </c>
      <c r="F146">
        <v>40.49</v>
      </c>
      <c r="H146">
        <v>189</v>
      </c>
      <c r="I146">
        <v>1</v>
      </c>
    </row>
    <row r="147" spans="1:9" x14ac:dyDescent="0.25">
      <c r="A147" t="s">
        <v>240</v>
      </c>
      <c r="C147">
        <v>500</v>
      </c>
      <c r="D147">
        <v>375</v>
      </c>
      <c r="E147">
        <v>98.77</v>
      </c>
      <c r="F147">
        <v>133.34</v>
      </c>
      <c r="I147">
        <v>1</v>
      </c>
    </row>
    <row r="148" spans="1:9" x14ac:dyDescent="0.25">
      <c r="A148" t="s">
        <v>241</v>
      </c>
      <c r="C148">
        <v>500</v>
      </c>
      <c r="D148">
        <v>375</v>
      </c>
      <c r="E148">
        <v>108.99</v>
      </c>
      <c r="F148">
        <v>147.13999999999999</v>
      </c>
      <c r="I148">
        <v>1</v>
      </c>
    </row>
    <row r="149" spans="1:9" x14ac:dyDescent="0.25">
      <c r="A149" t="s">
        <v>242</v>
      </c>
      <c r="C149">
        <v>500</v>
      </c>
      <c r="D149">
        <v>375</v>
      </c>
      <c r="E149">
        <v>145.87</v>
      </c>
      <c r="F149">
        <v>196.92</v>
      </c>
      <c r="I149">
        <v>1</v>
      </c>
    </row>
    <row r="150" spans="1:9" x14ac:dyDescent="0.25">
      <c r="A150" t="s">
        <v>243</v>
      </c>
      <c r="C150">
        <v>500</v>
      </c>
      <c r="D150">
        <v>375</v>
      </c>
      <c r="E150">
        <v>98.77</v>
      </c>
      <c r="F150">
        <v>133.34</v>
      </c>
      <c r="I150">
        <v>1</v>
      </c>
    </row>
    <row r="151" spans="1:9" x14ac:dyDescent="0.25">
      <c r="A151" t="s">
        <v>244</v>
      </c>
      <c r="C151">
        <v>500</v>
      </c>
      <c r="D151">
        <v>375</v>
      </c>
      <c r="E151">
        <v>108.99</v>
      </c>
      <c r="F151">
        <v>147.13999999999999</v>
      </c>
      <c r="I151">
        <v>1</v>
      </c>
    </row>
    <row r="152" spans="1:9" x14ac:dyDescent="0.25">
      <c r="A152" t="s">
        <v>245</v>
      </c>
      <c r="C152">
        <v>500</v>
      </c>
      <c r="D152">
        <v>375</v>
      </c>
      <c r="E152">
        <v>145.87</v>
      </c>
      <c r="F152">
        <v>196.92</v>
      </c>
      <c r="I152">
        <v>1</v>
      </c>
    </row>
    <row r="153" spans="1:9" x14ac:dyDescent="0.25">
      <c r="A153" t="s">
        <v>246</v>
      </c>
      <c r="C153">
        <v>500</v>
      </c>
      <c r="D153">
        <v>375</v>
      </c>
      <c r="E153">
        <v>17.38</v>
      </c>
      <c r="F153">
        <v>39.14</v>
      </c>
      <c r="I153">
        <v>1</v>
      </c>
    </row>
    <row r="154" spans="1:9" x14ac:dyDescent="0.25">
      <c r="A154" t="s">
        <v>247</v>
      </c>
      <c r="C154">
        <v>500</v>
      </c>
      <c r="D154">
        <v>375</v>
      </c>
      <c r="E154">
        <v>23.37</v>
      </c>
      <c r="F154">
        <v>52.64</v>
      </c>
      <c r="I154">
        <v>1</v>
      </c>
    </row>
    <row r="155" spans="1:9" x14ac:dyDescent="0.25">
      <c r="A155" t="s">
        <v>248</v>
      </c>
      <c r="C155">
        <v>500</v>
      </c>
      <c r="D155">
        <v>375</v>
      </c>
      <c r="E155">
        <v>8.0399999999999991</v>
      </c>
      <c r="F155">
        <v>21.49</v>
      </c>
      <c r="I155">
        <v>0</v>
      </c>
    </row>
    <row r="156" spans="1:9" x14ac:dyDescent="0.25">
      <c r="A156" t="s">
        <v>249</v>
      </c>
      <c r="C156">
        <v>500</v>
      </c>
      <c r="D156">
        <v>375</v>
      </c>
      <c r="E156">
        <v>9.35</v>
      </c>
      <c r="F156">
        <v>24.99</v>
      </c>
      <c r="I156">
        <v>0</v>
      </c>
    </row>
    <row r="157" spans="1:9" x14ac:dyDescent="0.25">
      <c r="A157" t="s">
        <v>250</v>
      </c>
      <c r="B157" t="s">
        <v>87</v>
      </c>
      <c r="C157">
        <v>4</v>
      </c>
      <c r="D157">
        <v>3</v>
      </c>
      <c r="E157">
        <v>23.75</v>
      </c>
      <c r="F157">
        <v>63.5</v>
      </c>
      <c r="G157" t="s">
        <v>88</v>
      </c>
      <c r="I157">
        <v>0</v>
      </c>
    </row>
    <row r="158" spans="1:9" x14ac:dyDescent="0.25">
      <c r="A158" t="s">
        <v>251</v>
      </c>
      <c r="B158" t="s">
        <v>87</v>
      </c>
      <c r="C158">
        <v>4</v>
      </c>
      <c r="D158">
        <v>3</v>
      </c>
      <c r="E158">
        <v>23.75</v>
      </c>
      <c r="F158">
        <v>63.5</v>
      </c>
      <c r="G158" t="s">
        <v>80</v>
      </c>
      <c r="I158">
        <v>0</v>
      </c>
    </row>
    <row r="159" spans="1:9" x14ac:dyDescent="0.25">
      <c r="A159" t="s">
        <v>252</v>
      </c>
      <c r="B159" t="s">
        <v>70</v>
      </c>
      <c r="C159">
        <v>500</v>
      </c>
      <c r="D159">
        <v>375</v>
      </c>
      <c r="E159">
        <v>204.63</v>
      </c>
      <c r="F159">
        <v>337.22</v>
      </c>
      <c r="G159">
        <v>44</v>
      </c>
      <c r="H159">
        <v>2.3199999999999998</v>
      </c>
      <c r="I159">
        <v>1</v>
      </c>
    </row>
    <row r="160" spans="1:9" x14ac:dyDescent="0.25">
      <c r="A160" t="s">
        <v>253</v>
      </c>
      <c r="B160" t="s">
        <v>70</v>
      </c>
      <c r="C160">
        <v>500</v>
      </c>
      <c r="D160">
        <v>375</v>
      </c>
      <c r="E160">
        <v>204.63</v>
      </c>
      <c r="F160">
        <v>337.22</v>
      </c>
      <c r="G160">
        <v>48</v>
      </c>
      <c r="H160">
        <v>2.36</v>
      </c>
      <c r="I160">
        <v>1</v>
      </c>
    </row>
    <row r="161" spans="1:9" x14ac:dyDescent="0.25">
      <c r="A161" t="s">
        <v>254</v>
      </c>
      <c r="B161" t="s">
        <v>70</v>
      </c>
      <c r="C161">
        <v>500</v>
      </c>
      <c r="D161">
        <v>375</v>
      </c>
      <c r="E161">
        <v>204.63</v>
      </c>
      <c r="F161">
        <v>337.22</v>
      </c>
      <c r="G161">
        <v>52</v>
      </c>
      <c r="H161">
        <v>2.4</v>
      </c>
      <c r="I161">
        <v>1</v>
      </c>
    </row>
    <row r="162" spans="1:9" x14ac:dyDescent="0.25">
      <c r="A162" t="s">
        <v>255</v>
      </c>
      <c r="B162" t="s">
        <v>74</v>
      </c>
      <c r="C162">
        <v>100</v>
      </c>
      <c r="D162">
        <v>75</v>
      </c>
      <c r="E162">
        <v>13.09</v>
      </c>
      <c r="F162">
        <v>35</v>
      </c>
      <c r="I162">
        <v>0</v>
      </c>
    </row>
    <row r="163" spans="1:9" x14ac:dyDescent="0.25">
      <c r="A163" t="s">
        <v>256</v>
      </c>
      <c r="C163">
        <v>100</v>
      </c>
      <c r="D163">
        <v>75</v>
      </c>
      <c r="E163">
        <v>13.09</v>
      </c>
      <c r="F163">
        <v>35</v>
      </c>
      <c r="I163">
        <v>0</v>
      </c>
    </row>
    <row r="164" spans="1:9" x14ac:dyDescent="0.25">
      <c r="A164" t="s">
        <v>257</v>
      </c>
      <c r="B164" t="s">
        <v>77</v>
      </c>
      <c r="C164">
        <v>4</v>
      </c>
      <c r="D164">
        <v>3</v>
      </c>
      <c r="E164">
        <v>38.49</v>
      </c>
      <c r="F164">
        <v>49.99</v>
      </c>
      <c r="G164" t="s">
        <v>78</v>
      </c>
      <c r="I164">
        <v>0</v>
      </c>
    </row>
    <row r="165" spans="1:9" x14ac:dyDescent="0.25">
      <c r="A165" t="s">
        <v>258</v>
      </c>
      <c r="B165" t="s">
        <v>77</v>
      </c>
      <c r="C165">
        <v>4</v>
      </c>
      <c r="D165">
        <v>3</v>
      </c>
      <c r="E165">
        <v>38.49</v>
      </c>
      <c r="F165">
        <v>49.99</v>
      </c>
      <c r="G165" t="s">
        <v>80</v>
      </c>
      <c r="I165">
        <v>0</v>
      </c>
    </row>
    <row r="166" spans="1:9" x14ac:dyDescent="0.25">
      <c r="A166" t="s">
        <v>259</v>
      </c>
      <c r="B166" t="s">
        <v>77</v>
      </c>
      <c r="C166">
        <v>4</v>
      </c>
      <c r="D166">
        <v>3</v>
      </c>
      <c r="E166">
        <v>38.49</v>
      </c>
      <c r="F166">
        <v>49.99</v>
      </c>
      <c r="G166" t="s">
        <v>82</v>
      </c>
      <c r="I166">
        <v>0</v>
      </c>
    </row>
    <row r="167" spans="1:9" x14ac:dyDescent="0.25">
      <c r="A167" t="s">
        <v>260</v>
      </c>
      <c r="B167" t="s">
        <v>84</v>
      </c>
      <c r="C167">
        <v>500</v>
      </c>
      <c r="D167">
        <v>375</v>
      </c>
      <c r="E167">
        <v>17.98</v>
      </c>
      <c r="F167">
        <v>40.49</v>
      </c>
      <c r="H167">
        <v>218</v>
      </c>
      <c r="I167">
        <v>1</v>
      </c>
    </row>
    <row r="168" spans="1:9" x14ac:dyDescent="0.25">
      <c r="A168" t="s">
        <v>261</v>
      </c>
      <c r="B168" t="s">
        <v>84</v>
      </c>
      <c r="C168">
        <v>500</v>
      </c>
      <c r="D168">
        <v>375</v>
      </c>
      <c r="E168">
        <v>27.57</v>
      </c>
      <c r="F168">
        <v>62.09</v>
      </c>
      <c r="H168">
        <v>215</v>
      </c>
      <c r="I168">
        <v>1</v>
      </c>
    </row>
    <row r="169" spans="1:9" x14ac:dyDescent="0.25">
      <c r="A169" t="s">
        <v>262</v>
      </c>
      <c r="B169" t="s">
        <v>84</v>
      </c>
      <c r="C169">
        <v>500</v>
      </c>
      <c r="D169">
        <v>375</v>
      </c>
      <c r="E169">
        <v>35.96</v>
      </c>
      <c r="F169">
        <v>80.989999999999995</v>
      </c>
      <c r="H169">
        <v>185</v>
      </c>
      <c r="I169">
        <v>1</v>
      </c>
    </row>
    <row r="170" spans="1:9" x14ac:dyDescent="0.25">
      <c r="A170" t="s">
        <v>263</v>
      </c>
      <c r="B170" t="s">
        <v>84</v>
      </c>
      <c r="C170">
        <v>500</v>
      </c>
      <c r="D170">
        <v>375</v>
      </c>
      <c r="E170">
        <v>17.98</v>
      </c>
      <c r="F170">
        <v>40.49</v>
      </c>
      <c r="H170">
        <v>189</v>
      </c>
      <c r="I170">
        <v>1</v>
      </c>
    </row>
    <row r="171" spans="1:9" x14ac:dyDescent="0.25">
      <c r="A171" t="s">
        <v>264</v>
      </c>
      <c r="C171">
        <v>500</v>
      </c>
      <c r="D171">
        <v>375</v>
      </c>
      <c r="E171">
        <v>98.77</v>
      </c>
      <c r="F171">
        <v>133.34</v>
      </c>
      <c r="I171">
        <v>1</v>
      </c>
    </row>
    <row r="172" spans="1:9" x14ac:dyDescent="0.25">
      <c r="A172" t="s">
        <v>265</v>
      </c>
      <c r="C172">
        <v>500</v>
      </c>
      <c r="D172">
        <v>375</v>
      </c>
      <c r="E172">
        <v>108.99</v>
      </c>
      <c r="F172">
        <v>147.13999999999999</v>
      </c>
      <c r="I172">
        <v>1</v>
      </c>
    </row>
    <row r="173" spans="1:9" x14ac:dyDescent="0.25">
      <c r="A173" t="s">
        <v>266</v>
      </c>
      <c r="C173">
        <v>500</v>
      </c>
      <c r="D173">
        <v>375</v>
      </c>
      <c r="E173">
        <v>145.87</v>
      </c>
      <c r="F173">
        <v>196.92</v>
      </c>
      <c r="I173">
        <v>1</v>
      </c>
    </row>
    <row r="174" spans="1:9" x14ac:dyDescent="0.25">
      <c r="A174" t="s">
        <v>267</v>
      </c>
      <c r="C174">
        <v>500</v>
      </c>
      <c r="D174">
        <v>375</v>
      </c>
      <c r="E174">
        <v>98.77</v>
      </c>
      <c r="F174">
        <v>133.34</v>
      </c>
      <c r="I174">
        <v>1</v>
      </c>
    </row>
    <row r="175" spans="1:9" x14ac:dyDescent="0.25">
      <c r="A175" t="s">
        <v>268</v>
      </c>
      <c r="C175">
        <v>500</v>
      </c>
      <c r="D175">
        <v>375</v>
      </c>
      <c r="E175">
        <v>108.99</v>
      </c>
      <c r="F175">
        <v>147.13999999999999</v>
      </c>
      <c r="I175">
        <v>1</v>
      </c>
    </row>
    <row r="176" spans="1:9" x14ac:dyDescent="0.25">
      <c r="A176" t="s">
        <v>269</v>
      </c>
      <c r="C176">
        <v>500</v>
      </c>
      <c r="D176">
        <v>375</v>
      </c>
      <c r="E176">
        <v>145.87</v>
      </c>
      <c r="F176">
        <v>196.92</v>
      </c>
      <c r="I176">
        <v>1</v>
      </c>
    </row>
    <row r="177" spans="1:9" x14ac:dyDescent="0.25">
      <c r="A177" t="s">
        <v>270</v>
      </c>
      <c r="C177">
        <v>500</v>
      </c>
      <c r="D177">
        <v>375</v>
      </c>
      <c r="E177">
        <v>17.38</v>
      </c>
      <c r="F177">
        <v>39.14</v>
      </c>
      <c r="I177">
        <v>1</v>
      </c>
    </row>
    <row r="178" spans="1:9" x14ac:dyDescent="0.25">
      <c r="A178" t="s">
        <v>271</v>
      </c>
      <c r="C178">
        <v>500</v>
      </c>
      <c r="D178">
        <v>375</v>
      </c>
      <c r="E178">
        <v>23.37</v>
      </c>
      <c r="F178">
        <v>52.64</v>
      </c>
      <c r="I178">
        <v>1</v>
      </c>
    </row>
    <row r="179" spans="1:9" x14ac:dyDescent="0.25">
      <c r="A179" t="s">
        <v>272</v>
      </c>
      <c r="C179">
        <v>500</v>
      </c>
      <c r="D179">
        <v>375</v>
      </c>
      <c r="E179">
        <v>8.0399999999999991</v>
      </c>
      <c r="F179">
        <v>21.49</v>
      </c>
      <c r="I179">
        <v>0</v>
      </c>
    </row>
    <row r="180" spans="1:9" x14ac:dyDescent="0.25">
      <c r="A180" t="s">
        <v>273</v>
      </c>
      <c r="C180">
        <v>500</v>
      </c>
      <c r="D180">
        <v>375</v>
      </c>
      <c r="E180">
        <v>9.35</v>
      </c>
      <c r="F180">
        <v>24.99</v>
      </c>
      <c r="I180">
        <v>0</v>
      </c>
    </row>
    <row r="181" spans="1:9" x14ac:dyDescent="0.25">
      <c r="A181" t="s">
        <v>274</v>
      </c>
      <c r="B181" t="s">
        <v>87</v>
      </c>
      <c r="C181">
        <v>4</v>
      </c>
      <c r="D181">
        <v>3</v>
      </c>
      <c r="E181">
        <v>23.75</v>
      </c>
      <c r="F181">
        <v>63.5</v>
      </c>
      <c r="G181" t="s">
        <v>88</v>
      </c>
      <c r="I181">
        <v>0</v>
      </c>
    </row>
    <row r="182" spans="1:9" x14ac:dyDescent="0.25">
      <c r="A182" t="s">
        <v>275</v>
      </c>
      <c r="B182" t="s">
        <v>87</v>
      </c>
      <c r="C182">
        <v>4</v>
      </c>
      <c r="D182">
        <v>3</v>
      </c>
      <c r="E182">
        <v>23.75</v>
      </c>
      <c r="F182">
        <v>63.5</v>
      </c>
      <c r="G182" t="s">
        <v>80</v>
      </c>
      <c r="I182">
        <v>0</v>
      </c>
    </row>
    <row r="183" spans="1:9" x14ac:dyDescent="0.25">
      <c r="A183" t="s">
        <v>276</v>
      </c>
      <c r="B183" t="s">
        <v>70</v>
      </c>
      <c r="C183">
        <v>500</v>
      </c>
      <c r="D183">
        <v>375</v>
      </c>
      <c r="E183">
        <v>204.63</v>
      </c>
      <c r="F183">
        <v>337.22</v>
      </c>
      <c r="G183">
        <v>44</v>
      </c>
      <c r="H183">
        <v>2.3199999999999998</v>
      </c>
      <c r="I183">
        <v>1</v>
      </c>
    </row>
    <row r="184" spans="1:9" x14ac:dyDescent="0.25">
      <c r="A184" t="s">
        <v>277</v>
      </c>
      <c r="B184" t="s">
        <v>70</v>
      </c>
      <c r="C184">
        <v>500</v>
      </c>
      <c r="D184">
        <v>375</v>
      </c>
      <c r="E184">
        <v>204.63</v>
      </c>
      <c r="F184">
        <v>337.22</v>
      </c>
      <c r="G184">
        <v>48</v>
      </c>
      <c r="H184">
        <v>2.36</v>
      </c>
      <c r="I184">
        <v>1</v>
      </c>
    </row>
    <row r="185" spans="1:9" x14ac:dyDescent="0.25">
      <c r="A185" t="s">
        <v>278</v>
      </c>
      <c r="B185" t="s">
        <v>70</v>
      </c>
      <c r="C185">
        <v>500</v>
      </c>
      <c r="D185">
        <v>375</v>
      </c>
      <c r="E185">
        <v>204.63</v>
      </c>
      <c r="F185">
        <v>337.22</v>
      </c>
      <c r="G185">
        <v>52</v>
      </c>
      <c r="H185">
        <v>2.4</v>
      </c>
      <c r="I185">
        <v>1</v>
      </c>
    </row>
    <row r="186" spans="1:9" x14ac:dyDescent="0.25">
      <c r="A186" t="s">
        <v>279</v>
      </c>
      <c r="B186" t="s">
        <v>74</v>
      </c>
      <c r="C186">
        <v>100</v>
      </c>
      <c r="D186">
        <v>75</v>
      </c>
      <c r="E186">
        <v>13.09</v>
      </c>
      <c r="F186">
        <v>35</v>
      </c>
      <c r="I186">
        <v>0</v>
      </c>
    </row>
    <row r="187" spans="1:9" x14ac:dyDescent="0.25">
      <c r="A187" t="s">
        <v>280</v>
      </c>
      <c r="C187">
        <v>100</v>
      </c>
      <c r="D187">
        <v>75</v>
      </c>
      <c r="E187">
        <v>13.09</v>
      </c>
      <c r="F187">
        <v>35</v>
      </c>
      <c r="I187">
        <v>0</v>
      </c>
    </row>
    <row r="188" spans="1:9" x14ac:dyDescent="0.25">
      <c r="A188" t="s">
        <v>281</v>
      </c>
      <c r="B188" t="s">
        <v>77</v>
      </c>
      <c r="C188">
        <v>4</v>
      </c>
      <c r="D188">
        <v>3</v>
      </c>
      <c r="E188">
        <v>38.49</v>
      </c>
      <c r="F188">
        <v>49.99</v>
      </c>
      <c r="G188" t="s">
        <v>78</v>
      </c>
      <c r="I188">
        <v>0</v>
      </c>
    </row>
    <row r="189" spans="1:9" x14ac:dyDescent="0.25">
      <c r="A189" t="s">
        <v>282</v>
      </c>
      <c r="B189" t="s">
        <v>77</v>
      </c>
      <c r="C189">
        <v>4</v>
      </c>
      <c r="D189">
        <v>3</v>
      </c>
      <c r="E189">
        <v>38.49</v>
      </c>
      <c r="F189">
        <v>49.99</v>
      </c>
      <c r="G189" t="s">
        <v>80</v>
      </c>
      <c r="I189">
        <v>0</v>
      </c>
    </row>
    <row r="190" spans="1:9" x14ac:dyDescent="0.25">
      <c r="A190" t="s">
        <v>283</v>
      </c>
      <c r="B190" t="s">
        <v>77</v>
      </c>
      <c r="C190">
        <v>4</v>
      </c>
      <c r="D190">
        <v>3</v>
      </c>
      <c r="E190">
        <v>38.49</v>
      </c>
      <c r="F190">
        <v>49.99</v>
      </c>
      <c r="G190" t="s">
        <v>82</v>
      </c>
      <c r="I190">
        <v>0</v>
      </c>
    </row>
    <row r="191" spans="1:9" x14ac:dyDescent="0.25">
      <c r="A191" t="s">
        <v>284</v>
      </c>
      <c r="B191" t="s">
        <v>84</v>
      </c>
      <c r="C191">
        <v>500</v>
      </c>
      <c r="D191">
        <v>375</v>
      </c>
      <c r="E191">
        <v>17.98</v>
      </c>
      <c r="F191">
        <v>40.49</v>
      </c>
      <c r="H191">
        <v>218</v>
      </c>
      <c r="I191">
        <v>1</v>
      </c>
    </row>
    <row r="192" spans="1:9" x14ac:dyDescent="0.25">
      <c r="A192" t="s">
        <v>285</v>
      </c>
      <c r="B192" t="s">
        <v>84</v>
      </c>
      <c r="C192">
        <v>500</v>
      </c>
      <c r="D192">
        <v>375</v>
      </c>
      <c r="E192">
        <v>27.57</v>
      </c>
      <c r="F192">
        <v>62.09</v>
      </c>
      <c r="H192">
        <v>215</v>
      </c>
      <c r="I192">
        <v>1</v>
      </c>
    </row>
    <row r="193" spans="1:9" x14ac:dyDescent="0.25">
      <c r="A193" t="s">
        <v>286</v>
      </c>
      <c r="B193" t="s">
        <v>84</v>
      </c>
      <c r="C193">
        <v>500</v>
      </c>
      <c r="D193">
        <v>375</v>
      </c>
      <c r="E193">
        <v>35.96</v>
      </c>
      <c r="F193">
        <v>80.989999999999995</v>
      </c>
      <c r="H193">
        <v>185</v>
      </c>
      <c r="I193">
        <v>1</v>
      </c>
    </row>
    <row r="194" spans="1:9" x14ac:dyDescent="0.25">
      <c r="A194" t="s">
        <v>287</v>
      </c>
      <c r="B194" t="s">
        <v>84</v>
      </c>
      <c r="C194">
        <v>500</v>
      </c>
      <c r="D194">
        <v>375</v>
      </c>
      <c r="E194">
        <v>17.98</v>
      </c>
      <c r="F194">
        <v>40.49</v>
      </c>
      <c r="H194">
        <v>189</v>
      </c>
      <c r="I194">
        <v>1</v>
      </c>
    </row>
    <row r="195" spans="1:9" x14ac:dyDescent="0.25">
      <c r="A195" t="s">
        <v>288</v>
      </c>
      <c r="C195">
        <v>500</v>
      </c>
      <c r="D195">
        <v>375</v>
      </c>
      <c r="E195">
        <v>98.77</v>
      </c>
      <c r="F195">
        <v>133.34</v>
      </c>
      <c r="I195">
        <v>1</v>
      </c>
    </row>
    <row r="196" spans="1:9" x14ac:dyDescent="0.25">
      <c r="A196" t="s">
        <v>289</v>
      </c>
      <c r="C196">
        <v>500</v>
      </c>
      <c r="D196">
        <v>375</v>
      </c>
      <c r="E196">
        <v>108.99</v>
      </c>
      <c r="F196">
        <v>147.13999999999999</v>
      </c>
      <c r="I196">
        <v>1</v>
      </c>
    </row>
    <row r="197" spans="1:9" x14ac:dyDescent="0.25">
      <c r="A197" t="s">
        <v>290</v>
      </c>
      <c r="C197">
        <v>500</v>
      </c>
      <c r="D197">
        <v>375</v>
      </c>
      <c r="E197">
        <v>145.87</v>
      </c>
      <c r="F197">
        <v>196.92</v>
      </c>
      <c r="I197">
        <v>1</v>
      </c>
    </row>
    <row r="198" spans="1:9" x14ac:dyDescent="0.25">
      <c r="A198" t="s">
        <v>291</v>
      </c>
      <c r="C198">
        <v>500</v>
      </c>
      <c r="D198">
        <v>375</v>
      </c>
      <c r="E198">
        <v>98.77</v>
      </c>
      <c r="F198">
        <v>133.34</v>
      </c>
      <c r="I198">
        <v>1</v>
      </c>
    </row>
    <row r="199" spans="1:9" x14ac:dyDescent="0.25">
      <c r="A199" t="s">
        <v>292</v>
      </c>
      <c r="C199">
        <v>500</v>
      </c>
      <c r="D199">
        <v>375</v>
      </c>
      <c r="E199">
        <v>108.99</v>
      </c>
      <c r="F199">
        <v>147.13999999999999</v>
      </c>
      <c r="I199">
        <v>1</v>
      </c>
    </row>
    <row r="200" spans="1:9" x14ac:dyDescent="0.25">
      <c r="A200" t="s">
        <v>293</v>
      </c>
      <c r="C200">
        <v>500</v>
      </c>
      <c r="D200">
        <v>375</v>
      </c>
      <c r="E200">
        <v>145.87</v>
      </c>
      <c r="F200">
        <v>196.92</v>
      </c>
      <c r="I200">
        <v>1</v>
      </c>
    </row>
    <row r="201" spans="1:9" x14ac:dyDescent="0.25">
      <c r="A201" t="s">
        <v>294</v>
      </c>
      <c r="C201">
        <v>500</v>
      </c>
      <c r="D201">
        <v>375</v>
      </c>
      <c r="E201">
        <v>17.38</v>
      </c>
      <c r="F201">
        <v>39.14</v>
      </c>
      <c r="I201">
        <v>1</v>
      </c>
    </row>
    <row r="202" spans="1:9" x14ac:dyDescent="0.25">
      <c r="A202" t="s">
        <v>295</v>
      </c>
      <c r="C202">
        <v>500</v>
      </c>
      <c r="D202">
        <v>375</v>
      </c>
      <c r="E202">
        <v>23.37</v>
      </c>
      <c r="F202">
        <v>52.64</v>
      </c>
      <c r="I202">
        <v>1</v>
      </c>
    </row>
    <row r="203" spans="1:9" x14ac:dyDescent="0.25">
      <c r="A203" t="s">
        <v>296</v>
      </c>
      <c r="C203">
        <v>500</v>
      </c>
      <c r="D203">
        <v>375</v>
      </c>
      <c r="E203">
        <v>8.0399999999999991</v>
      </c>
      <c r="F203">
        <v>21.49</v>
      </c>
      <c r="I203">
        <v>0</v>
      </c>
    </row>
    <row r="204" spans="1:9" x14ac:dyDescent="0.25">
      <c r="A204" t="s">
        <v>297</v>
      </c>
      <c r="C204">
        <v>500</v>
      </c>
      <c r="D204">
        <v>375</v>
      </c>
      <c r="E204">
        <v>9.35</v>
      </c>
      <c r="F204">
        <v>24.99</v>
      </c>
      <c r="I204">
        <v>0</v>
      </c>
    </row>
    <row r="205" spans="1:9" x14ac:dyDescent="0.25">
      <c r="A205" t="s">
        <v>298</v>
      </c>
      <c r="B205" t="s">
        <v>87</v>
      </c>
      <c r="C205">
        <v>4</v>
      </c>
      <c r="D205">
        <v>3</v>
      </c>
      <c r="E205">
        <v>23.75</v>
      </c>
      <c r="F205">
        <v>63.5</v>
      </c>
      <c r="G205" t="s">
        <v>88</v>
      </c>
      <c r="I205">
        <v>0</v>
      </c>
    </row>
    <row r="206" spans="1:9" x14ac:dyDescent="0.25">
      <c r="A206" t="s">
        <v>299</v>
      </c>
      <c r="B206" t="s">
        <v>87</v>
      </c>
      <c r="C206">
        <v>4</v>
      </c>
      <c r="D206">
        <v>3</v>
      </c>
      <c r="E206">
        <v>23.75</v>
      </c>
      <c r="F206">
        <v>63.5</v>
      </c>
      <c r="G206" t="s">
        <v>80</v>
      </c>
      <c r="I206">
        <v>0</v>
      </c>
    </row>
    <row r="207" spans="1:9" x14ac:dyDescent="0.25">
      <c r="A207" t="s">
        <v>300</v>
      </c>
      <c r="B207" t="s">
        <v>70</v>
      </c>
      <c r="C207">
        <v>500</v>
      </c>
      <c r="D207">
        <v>375</v>
      </c>
      <c r="E207">
        <v>204.63</v>
      </c>
      <c r="F207">
        <v>337.22</v>
      </c>
      <c r="G207">
        <v>44</v>
      </c>
      <c r="H207">
        <v>2.3199999999999998</v>
      </c>
      <c r="I207">
        <v>1</v>
      </c>
    </row>
    <row r="208" spans="1:9" x14ac:dyDescent="0.25">
      <c r="A208" t="s">
        <v>301</v>
      </c>
      <c r="B208" t="s">
        <v>70</v>
      </c>
      <c r="C208">
        <v>500</v>
      </c>
      <c r="D208">
        <v>375</v>
      </c>
      <c r="E208">
        <v>204.63</v>
      </c>
      <c r="F208">
        <v>337.22</v>
      </c>
      <c r="G208">
        <v>48</v>
      </c>
      <c r="H208">
        <v>2.36</v>
      </c>
      <c r="I208">
        <v>1</v>
      </c>
    </row>
    <row r="209" spans="1:9" x14ac:dyDescent="0.25">
      <c r="A209" t="s">
        <v>302</v>
      </c>
      <c r="B209" t="s">
        <v>70</v>
      </c>
      <c r="C209">
        <v>500</v>
      </c>
      <c r="D209">
        <v>375</v>
      </c>
      <c r="E209">
        <v>204.63</v>
      </c>
      <c r="F209">
        <v>337.22</v>
      </c>
      <c r="G209">
        <v>52</v>
      </c>
      <c r="H209">
        <v>2.4</v>
      </c>
      <c r="I209">
        <v>1</v>
      </c>
    </row>
    <row r="210" spans="1:9" x14ac:dyDescent="0.25">
      <c r="A210" t="s">
        <v>303</v>
      </c>
      <c r="B210" t="s">
        <v>74</v>
      </c>
      <c r="C210">
        <v>100</v>
      </c>
      <c r="D210">
        <v>75</v>
      </c>
      <c r="E210">
        <v>13.09</v>
      </c>
      <c r="F210">
        <v>35</v>
      </c>
      <c r="I210">
        <v>0</v>
      </c>
    </row>
    <row r="211" spans="1:9" x14ac:dyDescent="0.25">
      <c r="A211" t="s">
        <v>304</v>
      </c>
      <c r="C211">
        <v>100</v>
      </c>
      <c r="D211">
        <v>75</v>
      </c>
      <c r="E211">
        <v>13.09</v>
      </c>
      <c r="F211">
        <v>35</v>
      </c>
      <c r="I211">
        <v>0</v>
      </c>
    </row>
    <row r="212" spans="1:9" x14ac:dyDescent="0.25">
      <c r="A212" t="s">
        <v>305</v>
      </c>
      <c r="B212" t="s">
        <v>77</v>
      </c>
      <c r="C212">
        <v>4</v>
      </c>
      <c r="D212">
        <v>3</v>
      </c>
      <c r="E212">
        <v>38.49</v>
      </c>
      <c r="F212">
        <v>49.99</v>
      </c>
      <c r="G212" t="s">
        <v>78</v>
      </c>
      <c r="I212">
        <v>0</v>
      </c>
    </row>
    <row r="213" spans="1:9" x14ac:dyDescent="0.25">
      <c r="A213" t="s">
        <v>306</v>
      </c>
      <c r="B213" t="s">
        <v>77</v>
      </c>
      <c r="C213">
        <v>4</v>
      </c>
      <c r="D213">
        <v>3</v>
      </c>
      <c r="E213">
        <v>38.49</v>
      </c>
      <c r="F213">
        <v>49.99</v>
      </c>
      <c r="G213" t="s">
        <v>80</v>
      </c>
      <c r="I213">
        <v>0</v>
      </c>
    </row>
    <row r="214" spans="1:9" x14ac:dyDescent="0.25">
      <c r="A214" t="s">
        <v>307</v>
      </c>
      <c r="B214" t="s">
        <v>77</v>
      </c>
      <c r="C214">
        <v>4</v>
      </c>
      <c r="D214">
        <v>3</v>
      </c>
      <c r="E214">
        <v>38.49</v>
      </c>
      <c r="F214">
        <v>49.99</v>
      </c>
      <c r="G214" t="s">
        <v>82</v>
      </c>
      <c r="I214">
        <v>0</v>
      </c>
    </row>
    <row r="215" spans="1:9" x14ac:dyDescent="0.25">
      <c r="A215" t="s">
        <v>308</v>
      </c>
      <c r="B215" t="s">
        <v>84</v>
      </c>
      <c r="C215">
        <v>500</v>
      </c>
      <c r="D215">
        <v>375</v>
      </c>
      <c r="E215">
        <v>17.98</v>
      </c>
      <c r="F215">
        <v>40.49</v>
      </c>
      <c r="H215">
        <v>218</v>
      </c>
      <c r="I215">
        <v>1</v>
      </c>
    </row>
    <row r="216" spans="1:9" x14ac:dyDescent="0.25">
      <c r="A216" t="s">
        <v>309</v>
      </c>
      <c r="B216" t="s">
        <v>84</v>
      </c>
      <c r="C216">
        <v>500</v>
      </c>
      <c r="D216">
        <v>375</v>
      </c>
      <c r="E216">
        <v>27.57</v>
      </c>
      <c r="F216">
        <v>62.09</v>
      </c>
      <c r="H216">
        <v>215</v>
      </c>
      <c r="I216">
        <v>1</v>
      </c>
    </row>
    <row r="217" spans="1:9" x14ac:dyDescent="0.25">
      <c r="A217" t="s">
        <v>310</v>
      </c>
      <c r="B217" t="s">
        <v>84</v>
      </c>
      <c r="C217">
        <v>500</v>
      </c>
      <c r="D217">
        <v>375</v>
      </c>
      <c r="E217">
        <v>35.96</v>
      </c>
      <c r="F217">
        <v>80.989999999999995</v>
      </c>
      <c r="H217">
        <v>185</v>
      </c>
      <c r="I217">
        <v>1</v>
      </c>
    </row>
    <row r="218" spans="1:9" x14ac:dyDescent="0.25">
      <c r="A218" t="s">
        <v>311</v>
      </c>
      <c r="B218" t="s">
        <v>84</v>
      </c>
      <c r="C218">
        <v>500</v>
      </c>
      <c r="D218">
        <v>375</v>
      </c>
      <c r="E218">
        <v>17.98</v>
      </c>
      <c r="F218">
        <v>40.49</v>
      </c>
      <c r="H218">
        <v>189</v>
      </c>
      <c r="I218">
        <v>1</v>
      </c>
    </row>
    <row r="219" spans="1:9" x14ac:dyDescent="0.25">
      <c r="A219" t="s">
        <v>312</v>
      </c>
      <c r="C219">
        <v>500</v>
      </c>
      <c r="D219">
        <v>375</v>
      </c>
      <c r="E219">
        <v>98.77</v>
      </c>
      <c r="F219">
        <v>133.34</v>
      </c>
      <c r="I219">
        <v>1</v>
      </c>
    </row>
    <row r="220" spans="1:9" x14ac:dyDescent="0.25">
      <c r="A220" t="s">
        <v>313</v>
      </c>
      <c r="C220">
        <v>500</v>
      </c>
      <c r="D220">
        <v>375</v>
      </c>
      <c r="E220">
        <v>108.99</v>
      </c>
      <c r="F220">
        <v>147.13999999999999</v>
      </c>
      <c r="I220">
        <v>1</v>
      </c>
    </row>
    <row r="221" spans="1:9" x14ac:dyDescent="0.25">
      <c r="A221" t="s">
        <v>314</v>
      </c>
      <c r="C221">
        <v>500</v>
      </c>
      <c r="D221">
        <v>375</v>
      </c>
      <c r="E221">
        <v>145.87</v>
      </c>
      <c r="F221">
        <v>196.92</v>
      </c>
      <c r="I221">
        <v>1</v>
      </c>
    </row>
    <row r="222" spans="1:9" x14ac:dyDescent="0.25">
      <c r="A222" t="s">
        <v>315</v>
      </c>
      <c r="C222">
        <v>500</v>
      </c>
      <c r="D222">
        <v>375</v>
      </c>
      <c r="E222">
        <v>98.77</v>
      </c>
      <c r="F222">
        <v>133.34</v>
      </c>
      <c r="I222">
        <v>1</v>
      </c>
    </row>
    <row r="223" spans="1:9" x14ac:dyDescent="0.25">
      <c r="A223" t="s">
        <v>316</v>
      </c>
      <c r="C223">
        <v>500</v>
      </c>
      <c r="D223">
        <v>375</v>
      </c>
      <c r="E223">
        <v>108.99</v>
      </c>
      <c r="F223">
        <v>147.13999999999999</v>
      </c>
      <c r="I223">
        <v>1</v>
      </c>
    </row>
    <row r="224" spans="1:9" x14ac:dyDescent="0.25">
      <c r="A224" t="s">
        <v>317</v>
      </c>
      <c r="C224">
        <v>500</v>
      </c>
      <c r="D224">
        <v>375</v>
      </c>
      <c r="E224">
        <v>145.87</v>
      </c>
      <c r="F224">
        <v>196.92</v>
      </c>
      <c r="I224">
        <v>1</v>
      </c>
    </row>
    <row r="225" spans="1:9" x14ac:dyDescent="0.25">
      <c r="A225" t="s">
        <v>318</v>
      </c>
      <c r="C225">
        <v>500</v>
      </c>
      <c r="D225">
        <v>375</v>
      </c>
      <c r="E225">
        <v>17.38</v>
      </c>
      <c r="F225">
        <v>39.14</v>
      </c>
      <c r="I225">
        <v>1</v>
      </c>
    </row>
    <row r="226" spans="1:9" x14ac:dyDescent="0.25">
      <c r="A226" t="s">
        <v>319</v>
      </c>
      <c r="C226">
        <v>500</v>
      </c>
      <c r="D226">
        <v>375</v>
      </c>
      <c r="E226">
        <v>23.37</v>
      </c>
      <c r="F226">
        <v>52.64</v>
      </c>
      <c r="I226">
        <v>1</v>
      </c>
    </row>
    <row r="227" spans="1:9" x14ac:dyDescent="0.25">
      <c r="A227" t="s">
        <v>320</v>
      </c>
      <c r="C227">
        <v>500</v>
      </c>
      <c r="D227">
        <v>375</v>
      </c>
      <c r="E227">
        <v>8.0399999999999991</v>
      </c>
      <c r="F227">
        <v>21.49</v>
      </c>
      <c r="I227">
        <v>0</v>
      </c>
    </row>
    <row r="228" spans="1:9" x14ac:dyDescent="0.25">
      <c r="A228" t="s">
        <v>321</v>
      </c>
      <c r="C228">
        <v>500</v>
      </c>
      <c r="D228">
        <v>375</v>
      </c>
      <c r="E228">
        <v>9.35</v>
      </c>
      <c r="F228">
        <v>24.99</v>
      </c>
      <c r="I228">
        <v>0</v>
      </c>
    </row>
    <row r="229" spans="1:9" x14ac:dyDescent="0.25">
      <c r="A229" t="s">
        <v>322</v>
      </c>
      <c r="B229" t="s">
        <v>87</v>
      </c>
      <c r="C229">
        <v>4</v>
      </c>
      <c r="D229">
        <v>3</v>
      </c>
      <c r="E229">
        <v>23.75</v>
      </c>
      <c r="F229">
        <v>63.5</v>
      </c>
      <c r="G229" t="s">
        <v>88</v>
      </c>
      <c r="I229">
        <v>0</v>
      </c>
    </row>
    <row r="230" spans="1:9" x14ac:dyDescent="0.25">
      <c r="A230" t="s">
        <v>323</v>
      </c>
      <c r="B230" t="s">
        <v>87</v>
      </c>
      <c r="C230">
        <v>4</v>
      </c>
      <c r="D230">
        <v>3</v>
      </c>
      <c r="E230">
        <v>23.75</v>
      </c>
      <c r="F230">
        <v>63.5</v>
      </c>
      <c r="G230" t="s">
        <v>80</v>
      </c>
      <c r="I230">
        <v>0</v>
      </c>
    </row>
    <row r="231" spans="1:9" x14ac:dyDescent="0.25">
      <c r="A231" t="s">
        <v>324</v>
      </c>
      <c r="B231" t="s">
        <v>70</v>
      </c>
      <c r="C231">
        <v>500</v>
      </c>
      <c r="D231">
        <v>375</v>
      </c>
      <c r="E231">
        <v>204.63</v>
      </c>
      <c r="F231">
        <v>337.22</v>
      </c>
      <c r="G231">
        <v>44</v>
      </c>
      <c r="H231">
        <v>2.3199999999999998</v>
      </c>
      <c r="I231">
        <v>1</v>
      </c>
    </row>
    <row r="232" spans="1:9" x14ac:dyDescent="0.25">
      <c r="A232" t="s">
        <v>325</v>
      </c>
      <c r="B232" t="s">
        <v>70</v>
      </c>
      <c r="C232">
        <v>500</v>
      </c>
      <c r="D232">
        <v>375</v>
      </c>
      <c r="E232">
        <v>204.63</v>
      </c>
      <c r="F232">
        <v>337.22</v>
      </c>
      <c r="G232">
        <v>48</v>
      </c>
      <c r="H232">
        <v>2.36</v>
      </c>
      <c r="I232">
        <v>1</v>
      </c>
    </row>
    <row r="233" spans="1:9" x14ac:dyDescent="0.25">
      <c r="A233" t="s">
        <v>326</v>
      </c>
      <c r="B233" t="s">
        <v>70</v>
      </c>
      <c r="C233">
        <v>500</v>
      </c>
      <c r="D233">
        <v>375</v>
      </c>
      <c r="E233">
        <v>204.63</v>
      </c>
      <c r="F233">
        <v>337.22</v>
      </c>
      <c r="G233">
        <v>52</v>
      </c>
      <c r="H233">
        <v>2.4</v>
      </c>
      <c r="I233">
        <v>1</v>
      </c>
    </row>
    <row r="234" spans="1:9" x14ac:dyDescent="0.25">
      <c r="A234" t="s">
        <v>327</v>
      </c>
      <c r="B234" t="s">
        <v>74</v>
      </c>
      <c r="C234">
        <v>100</v>
      </c>
      <c r="D234">
        <v>75</v>
      </c>
      <c r="E234">
        <v>13.09</v>
      </c>
      <c r="F234">
        <v>35</v>
      </c>
      <c r="I234">
        <v>0</v>
      </c>
    </row>
    <row r="235" spans="1:9" x14ac:dyDescent="0.25">
      <c r="A235" t="s">
        <v>328</v>
      </c>
      <c r="C235">
        <v>100</v>
      </c>
      <c r="D235">
        <v>75</v>
      </c>
      <c r="E235">
        <v>13.09</v>
      </c>
      <c r="F235">
        <v>35</v>
      </c>
      <c r="I235">
        <v>0</v>
      </c>
    </row>
    <row r="236" spans="1:9" x14ac:dyDescent="0.25">
      <c r="A236" t="s">
        <v>329</v>
      </c>
      <c r="B236" t="s">
        <v>77</v>
      </c>
      <c r="C236">
        <v>4</v>
      </c>
      <c r="D236">
        <v>3</v>
      </c>
      <c r="E236">
        <v>38.49</v>
      </c>
      <c r="F236">
        <v>49.99</v>
      </c>
      <c r="G236" t="s">
        <v>78</v>
      </c>
      <c r="I236">
        <v>0</v>
      </c>
    </row>
    <row r="237" spans="1:9" x14ac:dyDescent="0.25">
      <c r="A237" t="s">
        <v>330</v>
      </c>
      <c r="B237" t="s">
        <v>77</v>
      </c>
      <c r="C237">
        <v>4</v>
      </c>
      <c r="D237">
        <v>3</v>
      </c>
      <c r="E237">
        <v>38.49</v>
      </c>
      <c r="F237">
        <v>49.99</v>
      </c>
      <c r="G237" t="s">
        <v>80</v>
      </c>
      <c r="I237">
        <v>0</v>
      </c>
    </row>
    <row r="238" spans="1:9" x14ac:dyDescent="0.25">
      <c r="A238" t="s">
        <v>331</v>
      </c>
      <c r="B238" t="s">
        <v>77</v>
      </c>
      <c r="C238">
        <v>4</v>
      </c>
      <c r="D238">
        <v>3</v>
      </c>
      <c r="E238">
        <v>38.49</v>
      </c>
      <c r="F238">
        <v>49.99</v>
      </c>
      <c r="G238" t="s">
        <v>82</v>
      </c>
      <c r="I238">
        <v>0</v>
      </c>
    </row>
    <row r="239" spans="1:9" x14ac:dyDescent="0.25">
      <c r="A239" t="s">
        <v>332</v>
      </c>
      <c r="B239" t="s">
        <v>84</v>
      </c>
      <c r="C239">
        <v>500</v>
      </c>
      <c r="D239">
        <v>375</v>
      </c>
      <c r="E239">
        <v>17.98</v>
      </c>
      <c r="F239">
        <v>40.49</v>
      </c>
      <c r="H239">
        <v>218</v>
      </c>
      <c r="I239">
        <v>1</v>
      </c>
    </row>
    <row r="240" spans="1:9" x14ac:dyDescent="0.25">
      <c r="A240" t="s">
        <v>333</v>
      </c>
      <c r="B240" t="s">
        <v>84</v>
      </c>
      <c r="C240">
        <v>500</v>
      </c>
      <c r="D240">
        <v>375</v>
      </c>
      <c r="E240">
        <v>27.57</v>
      </c>
      <c r="F240">
        <v>62.09</v>
      </c>
      <c r="H240">
        <v>215</v>
      </c>
      <c r="I240">
        <v>1</v>
      </c>
    </row>
    <row r="241" spans="1:9" x14ac:dyDescent="0.25">
      <c r="A241" t="s">
        <v>334</v>
      </c>
      <c r="B241" t="s">
        <v>84</v>
      </c>
      <c r="C241">
        <v>500</v>
      </c>
      <c r="D241">
        <v>375</v>
      </c>
      <c r="E241">
        <v>35.96</v>
      </c>
      <c r="F241">
        <v>80.989999999999995</v>
      </c>
      <c r="H241">
        <v>185</v>
      </c>
      <c r="I241">
        <v>1</v>
      </c>
    </row>
    <row r="242" spans="1:9" x14ac:dyDescent="0.25">
      <c r="A242" t="s">
        <v>335</v>
      </c>
      <c r="B242" t="s">
        <v>84</v>
      </c>
      <c r="C242">
        <v>500</v>
      </c>
      <c r="D242">
        <v>375</v>
      </c>
      <c r="E242">
        <v>17.98</v>
      </c>
      <c r="F242">
        <v>40.49</v>
      </c>
      <c r="H242">
        <v>189</v>
      </c>
      <c r="I242">
        <v>1</v>
      </c>
    </row>
    <row r="243" spans="1:9" x14ac:dyDescent="0.25">
      <c r="A243" t="s">
        <v>336</v>
      </c>
      <c r="C243">
        <v>500</v>
      </c>
      <c r="D243">
        <v>375</v>
      </c>
      <c r="E243">
        <v>98.77</v>
      </c>
      <c r="F243">
        <v>133.34</v>
      </c>
      <c r="I243">
        <v>1</v>
      </c>
    </row>
    <row r="244" spans="1:9" x14ac:dyDescent="0.25">
      <c r="A244" t="s">
        <v>337</v>
      </c>
      <c r="C244">
        <v>500</v>
      </c>
      <c r="D244">
        <v>375</v>
      </c>
      <c r="E244">
        <v>108.99</v>
      </c>
      <c r="F244">
        <v>147.13999999999999</v>
      </c>
      <c r="I244">
        <v>1</v>
      </c>
    </row>
    <row r="245" spans="1:9" x14ac:dyDescent="0.25">
      <c r="A245" t="s">
        <v>338</v>
      </c>
      <c r="C245">
        <v>500</v>
      </c>
      <c r="D245">
        <v>375</v>
      </c>
      <c r="E245">
        <v>145.87</v>
      </c>
      <c r="F245">
        <v>196.92</v>
      </c>
      <c r="I245">
        <v>1</v>
      </c>
    </row>
    <row r="246" spans="1:9" x14ac:dyDescent="0.25">
      <c r="A246" t="s">
        <v>339</v>
      </c>
      <c r="C246">
        <v>500</v>
      </c>
      <c r="D246">
        <v>375</v>
      </c>
      <c r="E246">
        <v>98.77</v>
      </c>
      <c r="F246">
        <v>133.34</v>
      </c>
      <c r="I246">
        <v>1</v>
      </c>
    </row>
    <row r="247" spans="1:9" x14ac:dyDescent="0.25">
      <c r="A247" t="s">
        <v>340</v>
      </c>
      <c r="C247">
        <v>500</v>
      </c>
      <c r="D247">
        <v>375</v>
      </c>
      <c r="E247">
        <v>108.99</v>
      </c>
      <c r="F247">
        <v>147.13999999999999</v>
      </c>
      <c r="I247">
        <v>1</v>
      </c>
    </row>
    <row r="248" spans="1:9" x14ac:dyDescent="0.25">
      <c r="A248" t="s">
        <v>341</v>
      </c>
      <c r="C248">
        <v>500</v>
      </c>
      <c r="D248">
        <v>375</v>
      </c>
      <c r="E248">
        <v>145.87</v>
      </c>
      <c r="F248">
        <v>196.92</v>
      </c>
      <c r="I248">
        <v>1</v>
      </c>
    </row>
    <row r="249" spans="1:9" x14ac:dyDescent="0.25">
      <c r="A249" t="s">
        <v>342</v>
      </c>
      <c r="C249">
        <v>500</v>
      </c>
      <c r="D249">
        <v>375</v>
      </c>
      <c r="E249">
        <v>17.38</v>
      </c>
      <c r="F249">
        <v>39.14</v>
      </c>
      <c r="I249">
        <v>1</v>
      </c>
    </row>
    <row r="250" spans="1:9" x14ac:dyDescent="0.25">
      <c r="A250" t="s">
        <v>343</v>
      </c>
      <c r="C250">
        <v>500</v>
      </c>
      <c r="D250">
        <v>375</v>
      </c>
      <c r="E250">
        <v>23.37</v>
      </c>
      <c r="F250">
        <v>52.64</v>
      </c>
      <c r="I250">
        <v>1</v>
      </c>
    </row>
    <row r="251" spans="1:9" x14ac:dyDescent="0.25">
      <c r="A251" t="s">
        <v>344</v>
      </c>
      <c r="C251">
        <v>500</v>
      </c>
      <c r="D251">
        <v>375</v>
      </c>
      <c r="E251">
        <v>8.0399999999999991</v>
      </c>
      <c r="F251">
        <v>21.49</v>
      </c>
      <c r="I251">
        <v>0</v>
      </c>
    </row>
    <row r="252" spans="1:9" x14ac:dyDescent="0.25">
      <c r="A252" t="s">
        <v>345</v>
      </c>
      <c r="C252">
        <v>500</v>
      </c>
      <c r="D252">
        <v>375</v>
      </c>
      <c r="E252">
        <v>9.35</v>
      </c>
      <c r="F252">
        <v>24.99</v>
      </c>
      <c r="I252">
        <v>0</v>
      </c>
    </row>
    <row r="253" spans="1:9" x14ac:dyDescent="0.25">
      <c r="A253" t="s">
        <v>346</v>
      </c>
      <c r="B253" t="s">
        <v>87</v>
      </c>
      <c r="C253">
        <v>4</v>
      </c>
      <c r="D253">
        <v>3</v>
      </c>
      <c r="E253">
        <v>23.75</v>
      </c>
      <c r="F253">
        <v>63.5</v>
      </c>
      <c r="G253" t="s">
        <v>88</v>
      </c>
      <c r="I253">
        <v>0</v>
      </c>
    </row>
    <row r="254" spans="1:9" x14ac:dyDescent="0.25">
      <c r="A254" t="s">
        <v>347</v>
      </c>
      <c r="B254" t="s">
        <v>87</v>
      </c>
      <c r="C254">
        <v>4</v>
      </c>
      <c r="D254">
        <v>3</v>
      </c>
      <c r="E254">
        <v>23.75</v>
      </c>
      <c r="F254">
        <v>63.5</v>
      </c>
      <c r="G254" t="s">
        <v>80</v>
      </c>
      <c r="I254">
        <v>0</v>
      </c>
    </row>
    <row r="255" spans="1:9" x14ac:dyDescent="0.25">
      <c r="A255" t="s">
        <v>348</v>
      </c>
      <c r="B255" t="s">
        <v>70</v>
      </c>
      <c r="C255">
        <v>500</v>
      </c>
      <c r="D255">
        <v>375</v>
      </c>
      <c r="E255">
        <v>204.63</v>
      </c>
      <c r="F255">
        <v>337.22</v>
      </c>
      <c r="G255">
        <v>44</v>
      </c>
      <c r="H255">
        <v>2.3199999999999998</v>
      </c>
      <c r="I255">
        <v>1</v>
      </c>
    </row>
    <row r="256" spans="1:9" x14ac:dyDescent="0.25">
      <c r="A256" t="s">
        <v>349</v>
      </c>
      <c r="B256" t="s">
        <v>70</v>
      </c>
      <c r="C256">
        <v>500</v>
      </c>
      <c r="D256">
        <v>375</v>
      </c>
      <c r="E256">
        <v>204.63</v>
      </c>
      <c r="F256">
        <v>337.22</v>
      </c>
      <c r="G256">
        <v>48</v>
      </c>
      <c r="H256">
        <v>2.36</v>
      </c>
      <c r="I256">
        <v>1</v>
      </c>
    </row>
    <row r="257" spans="1:9" x14ac:dyDescent="0.25">
      <c r="A257" t="s">
        <v>350</v>
      </c>
      <c r="B257" t="s">
        <v>70</v>
      </c>
      <c r="C257">
        <v>500</v>
      </c>
      <c r="D257">
        <v>375</v>
      </c>
      <c r="E257">
        <v>204.63</v>
      </c>
      <c r="F257">
        <v>337.22</v>
      </c>
      <c r="G257">
        <v>52</v>
      </c>
      <c r="H257">
        <v>2.4</v>
      </c>
      <c r="I257">
        <v>1</v>
      </c>
    </row>
    <row r="258" spans="1:9" x14ac:dyDescent="0.25">
      <c r="A258" t="s">
        <v>351</v>
      </c>
      <c r="B258" t="s">
        <v>74</v>
      </c>
      <c r="C258">
        <v>100</v>
      </c>
      <c r="D258">
        <v>75</v>
      </c>
      <c r="E258">
        <v>13.09</v>
      </c>
      <c r="F258">
        <v>35</v>
      </c>
      <c r="I258">
        <v>0</v>
      </c>
    </row>
    <row r="259" spans="1:9" x14ac:dyDescent="0.25">
      <c r="A259" t="s">
        <v>352</v>
      </c>
      <c r="C259">
        <v>100</v>
      </c>
      <c r="D259">
        <v>75</v>
      </c>
      <c r="E259">
        <v>13.09</v>
      </c>
      <c r="F259">
        <v>35</v>
      </c>
      <c r="I259">
        <v>0</v>
      </c>
    </row>
    <row r="260" spans="1:9" x14ac:dyDescent="0.25">
      <c r="A260" t="s">
        <v>353</v>
      </c>
      <c r="B260" t="s">
        <v>77</v>
      </c>
      <c r="C260">
        <v>4</v>
      </c>
      <c r="D260">
        <v>3</v>
      </c>
      <c r="E260">
        <v>38.49</v>
      </c>
      <c r="F260">
        <v>49.99</v>
      </c>
      <c r="G260" t="s">
        <v>78</v>
      </c>
      <c r="I260">
        <v>0</v>
      </c>
    </row>
    <row r="261" spans="1:9" x14ac:dyDescent="0.25">
      <c r="A261" t="s">
        <v>354</v>
      </c>
      <c r="B261" t="s">
        <v>77</v>
      </c>
      <c r="C261">
        <v>4</v>
      </c>
      <c r="D261">
        <v>3</v>
      </c>
      <c r="E261">
        <v>38.49</v>
      </c>
      <c r="F261">
        <v>49.99</v>
      </c>
      <c r="G261" t="s">
        <v>80</v>
      </c>
      <c r="I261">
        <v>0</v>
      </c>
    </row>
    <row r="262" spans="1:9" x14ac:dyDescent="0.25">
      <c r="A262" t="s">
        <v>355</v>
      </c>
      <c r="B262" t="s">
        <v>77</v>
      </c>
      <c r="C262">
        <v>4</v>
      </c>
      <c r="D262">
        <v>3</v>
      </c>
      <c r="E262">
        <v>38.49</v>
      </c>
      <c r="F262">
        <v>49.99</v>
      </c>
      <c r="G262" t="s">
        <v>82</v>
      </c>
      <c r="I262">
        <v>0</v>
      </c>
    </row>
    <row r="263" spans="1:9" x14ac:dyDescent="0.25">
      <c r="A263" t="s">
        <v>356</v>
      </c>
      <c r="B263" t="s">
        <v>84</v>
      </c>
      <c r="C263">
        <v>500</v>
      </c>
      <c r="D263">
        <v>375</v>
      </c>
      <c r="E263">
        <v>17.98</v>
      </c>
      <c r="F263">
        <v>40.49</v>
      </c>
      <c r="H263">
        <v>218</v>
      </c>
      <c r="I263">
        <v>1</v>
      </c>
    </row>
    <row r="264" spans="1:9" x14ac:dyDescent="0.25">
      <c r="A264" t="s">
        <v>357</v>
      </c>
      <c r="B264" t="s">
        <v>84</v>
      </c>
      <c r="C264">
        <v>500</v>
      </c>
      <c r="D264">
        <v>375</v>
      </c>
      <c r="E264">
        <v>27.57</v>
      </c>
      <c r="F264">
        <v>62.09</v>
      </c>
      <c r="H264">
        <v>215</v>
      </c>
      <c r="I264">
        <v>1</v>
      </c>
    </row>
    <row r="265" spans="1:9" x14ac:dyDescent="0.25">
      <c r="A265" t="s">
        <v>358</v>
      </c>
      <c r="B265" t="s">
        <v>84</v>
      </c>
      <c r="C265">
        <v>500</v>
      </c>
      <c r="D265">
        <v>375</v>
      </c>
      <c r="E265">
        <v>35.96</v>
      </c>
      <c r="F265">
        <v>80.989999999999995</v>
      </c>
      <c r="H265">
        <v>185</v>
      </c>
      <c r="I265">
        <v>1</v>
      </c>
    </row>
    <row r="266" spans="1:9" x14ac:dyDescent="0.25">
      <c r="A266" t="s">
        <v>359</v>
      </c>
      <c r="B266" t="s">
        <v>84</v>
      </c>
      <c r="C266">
        <v>500</v>
      </c>
      <c r="D266">
        <v>375</v>
      </c>
      <c r="E266">
        <v>17.98</v>
      </c>
      <c r="F266">
        <v>40.49</v>
      </c>
      <c r="H266">
        <v>189</v>
      </c>
      <c r="I266">
        <v>1</v>
      </c>
    </row>
    <row r="267" spans="1:9" x14ac:dyDescent="0.25">
      <c r="A267" t="s">
        <v>360</v>
      </c>
      <c r="C267">
        <v>500</v>
      </c>
      <c r="D267">
        <v>375</v>
      </c>
      <c r="E267">
        <v>98.77</v>
      </c>
      <c r="F267">
        <v>133.34</v>
      </c>
      <c r="I267">
        <v>1</v>
      </c>
    </row>
    <row r="268" spans="1:9" x14ac:dyDescent="0.25">
      <c r="A268" t="s">
        <v>361</v>
      </c>
      <c r="C268">
        <v>500</v>
      </c>
      <c r="D268">
        <v>375</v>
      </c>
      <c r="E268">
        <v>108.99</v>
      </c>
      <c r="F268">
        <v>147.13999999999999</v>
      </c>
      <c r="I268">
        <v>1</v>
      </c>
    </row>
    <row r="269" spans="1:9" x14ac:dyDescent="0.25">
      <c r="A269" t="s">
        <v>362</v>
      </c>
      <c r="C269">
        <v>500</v>
      </c>
      <c r="D269">
        <v>375</v>
      </c>
      <c r="E269">
        <v>145.87</v>
      </c>
      <c r="F269">
        <v>196.92</v>
      </c>
      <c r="I269">
        <v>1</v>
      </c>
    </row>
    <row r="270" spans="1:9" x14ac:dyDescent="0.25">
      <c r="A270" t="s">
        <v>363</v>
      </c>
      <c r="C270">
        <v>500</v>
      </c>
      <c r="D270">
        <v>375</v>
      </c>
      <c r="E270">
        <v>98.77</v>
      </c>
      <c r="F270">
        <v>133.34</v>
      </c>
      <c r="I270">
        <v>1</v>
      </c>
    </row>
    <row r="271" spans="1:9" x14ac:dyDescent="0.25">
      <c r="A271" t="s">
        <v>364</v>
      </c>
      <c r="C271">
        <v>500</v>
      </c>
      <c r="D271">
        <v>375</v>
      </c>
      <c r="E271">
        <v>108.99</v>
      </c>
      <c r="F271">
        <v>147.13999999999999</v>
      </c>
      <c r="I271">
        <v>1</v>
      </c>
    </row>
    <row r="272" spans="1:9" x14ac:dyDescent="0.25">
      <c r="A272" t="s">
        <v>365</v>
      </c>
      <c r="C272">
        <v>500</v>
      </c>
      <c r="D272">
        <v>375</v>
      </c>
      <c r="E272">
        <v>145.87</v>
      </c>
      <c r="F272">
        <v>196.92</v>
      </c>
      <c r="I272">
        <v>1</v>
      </c>
    </row>
    <row r="273" spans="1:9" x14ac:dyDescent="0.25">
      <c r="A273" t="s">
        <v>366</v>
      </c>
      <c r="C273">
        <v>500</v>
      </c>
      <c r="D273">
        <v>375</v>
      </c>
      <c r="E273">
        <v>17.38</v>
      </c>
      <c r="F273">
        <v>39.14</v>
      </c>
      <c r="I273">
        <v>1</v>
      </c>
    </row>
    <row r="274" spans="1:9" x14ac:dyDescent="0.25">
      <c r="A274" t="s">
        <v>367</v>
      </c>
      <c r="C274">
        <v>500</v>
      </c>
      <c r="D274">
        <v>375</v>
      </c>
      <c r="E274">
        <v>23.37</v>
      </c>
      <c r="F274">
        <v>52.64</v>
      </c>
      <c r="I274">
        <v>1</v>
      </c>
    </row>
    <row r="275" spans="1:9" x14ac:dyDescent="0.25">
      <c r="A275" t="s">
        <v>368</v>
      </c>
      <c r="C275">
        <v>500</v>
      </c>
      <c r="D275">
        <v>375</v>
      </c>
      <c r="E275">
        <v>8.0399999999999991</v>
      </c>
      <c r="F275">
        <v>21.49</v>
      </c>
      <c r="I275">
        <v>0</v>
      </c>
    </row>
    <row r="276" spans="1:9" x14ac:dyDescent="0.25">
      <c r="A276" t="s">
        <v>369</v>
      </c>
      <c r="C276">
        <v>500</v>
      </c>
      <c r="D276">
        <v>375</v>
      </c>
      <c r="E276">
        <v>9.35</v>
      </c>
      <c r="F276">
        <v>24.99</v>
      </c>
      <c r="I276">
        <v>0</v>
      </c>
    </row>
    <row r="277" spans="1:9" x14ac:dyDescent="0.25">
      <c r="A277" t="s">
        <v>370</v>
      </c>
      <c r="B277" t="s">
        <v>87</v>
      </c>
      <c r="C277">
        <v>4</v>
      </c>
      <c r="D277">
        <v>3</v>
      </c>
      <c r="E277">
        <v>23.75</v>
      </c>
      <c r="F277">
        <v>63.5</v>
      </c>
      <c r="G277" t="s">
        <v>88</v>
      </c>
      <c r="I277">
        <v>0</v>
      </c>
    </row>
    <row r="278" spans="1:9" x14ac:dyDescent="0.25">
      <c r="A278" t="s">
        <v>371</v>
      </c>
      <c r="B278" t="s">
        <v>87</v>
      </c>
      <c r="C278">
        <v>4</v>
      </c>
      <c r="D278">
        <v>3</v>
      </c>
      <c r="E278">
        <v>23.75</v>
      </c>
      <c r="F278">
        <v>63.5</v>
      </c>
      <c r="G278" t="s">
        <v>80</v>
      </c>
      <c r="I278">
        <v>0</v>
      </c>
    </row>
    <row r="279" spans="1:9" x14ac:dyDescent="0.25">
      <c r="A279" t="s">
        <v>372</v>
      </c>
      <c r="B279" t="s">
        <v>70</v>
      </c>
      <c r="C279">
        <v>500</v>
      </c>
      <c r="D279">
        <v>375</v>
      </c>
      <c r="E279">
        <v>204.63</v>
      </c>
      <c r="F279">
        <v>337.22</v>
      </c>
      <c r="G279">
        <v>44</v>
      </c>
      <c r="H279">
        <v>2.3199999999999998</v>
      </c>
      <c r="I279">
        <v>1</v>
      </c>
    </row>
    <row r="280" spans="1:9" x14ac:dyDescent="0.25">
      <c r="A280" t="s">
        <v>373</v>
      </c>
      <c r="B280" t="s">
        <v>70</v>
      </c>
      <c r="C280">
        <v>500</v>
      </c>
      <c r="D280">
        <v>375</v>
      </c>
      <c r="E280">
        <v>204.63</v>
      </c>
      <c r="F280">
        <v>337.22</v>
      </c>
      <c r="G280">
        <v>48</v>
      </c>
      <c r="H280">
        <v>2.36</v>
      </c>
      <c r="I280">
        <v>1</v>
      </c>
    </row>
    <row r="281" spans="1:9" x14ac:dyDescent="0.25">
      <c r="A281" t="s">
        <v>374</v>
      </c>
      <c r="B281" t="s">
        <v>70</v>
      </c>
      <c r="C281">
        <v>500</v>
      </c>
      <c r="D281">
        <v>375</v>
      </c>
      <c r="E281">
        <v>204.63</v>
      </c>
      <c r="F281">
        <v>337.22</v>
      </c>
      <c r="G281">
        <v>52</v>
      </c>
      <c r="H281">
        <v>2.4</v>
      </c>
      <c r="I281">
        <v>1</v>
      </c>
    </row>
    <row r="282" spans="1:9" x14ac:dyDescent="0.25">
      <c r="A282" t="s">
        <v>375</v>
      </c>
      <c r="B282" t="s">
        <v>74</v>
      </c>
      <c r="C282">
        <v>100</v>
      </c>
      <c r="D282">
        <v>75</v>
      </c>
      <c r="E282">
        <v>13.09</v>
      </c>
      <c r="F282">
        <v>35</v>
      </c>
      <c r="I282">
        <v>0</v>
      </c>
    </row>
    <row r="283" spans="1:9" x14ac:dyDescent="0.25">
      <c r="A283" t="s">
        <v>376</v>
      </c>
      <c r="C283">
        <v>100</v>
      </c>
      <c r="D283">
        <v>75</v>
      </c>
      <c r="E283">
        <v>13.09</v>
      </c>
      <c r="F283">
        <v>35</v>
      </c>
      <c r="I283">
        <v>0</v>
      </c>
    </row>
    <row r="284" spans="1:9" x14ac:dyDescent="0.25">
      <c r="A284" t="s">
        <v>377</v>
      </c>
      <c r="B284" t="s">
        <v>77</v>
      </c>
      <c r="C284">
        <v>4</v>
      </c>
      <c r="D284">
        <v>3</v>
      </c>
      <c r="E284">
        <v>38.49</v>
      </c>
      <c r="F284">
        <v>49.99</v>
      </c>
      <c r="G284" t="s">
        <v>78</v>
      </c>
      <c r="I284">
        <v>0</v>
      </c>
    </row>
    <row r="285" spans="1:9" x14ac:dyDescent="0.25">
      <c r="A285" t="s">
        <v>378</v>
      </c>
      <c r="B285" t="s">
        <v>77</v>
      </c>
      <c r="C285">
        <v>4</v>
      </c>
      <c r="D285">
        <v>3</v>
      </c>
      <c r="E285">
        <v>38.49</v>
      </c>
      <c r="F285">
        <v>49.99</v>
      </c>
      <c r="G285" t="s">
        <v>80</v>
      </c>
      <c r="I285">
        <v>0</v>
      </c>
    </row>
    <row r="286" spans="1:9" x14ac:dyDescent="0.25">
      <c r="A286" t="s">
        <v>379</v>
      </c>
      <c r="B286" t="s">
        <v>77</v>
      </c>
      <c r="C286">
        <v>4</v>
      </c>
      <c r="D286">
        <v>3</v>
      </c>
      <c r="E286">
        <v>38.49</v>
      </c>
      <c r="F286">
        <v>49.99</v>
      </c>
      <c r="G286" t="s">
        <v>82</v>
      </c>
      <c r="I286">
        <v>0</v>
      </c>
    </row>
    <row r="287" spans="1:9" x14ac:dyDescent="0.25">
      <c r="A287" t="s">
        <v>380</v>
      </c>
      <c r="B287" t="s">
        <v>84</v>
      </c>
      <c r="C287">
        <v>500</v>
      </c>
      <c r="D287">
        <v>375</v>
      </c>
      <c r="E287">
        <v>17.98</v>
      </c>
      <c r="F287">
        <v>40.49</v>
      </c>
      <c r="H287">
        <v>218</v>
      </c>
      <c r="I287">
        <v>1</v>
      </c>
    </row>
    <row r="288" spans="1:9" x14ac:dyDescent="0.25">
      <c r="A288" t="s">
        <v>381</v>
      </c>
      <c r="B288" t="s">
        <v>84</v>
      </c>
      <c r="C288">
        <v>500</v>
      </c>
      <c r="D288">
        <v>375</v>
      </c>
      <c r="E288">
        <v>27.57</v>
      </c>
      <c r="F288">
        <v>62.09</v>
      </c>
      <c r="H288">
        <v>215</v>
      </c>
      <c r="I288">
        <v>1</v>
      </c>
    </row>
    <row r="289" spans="1:9" x14ac:dyDescent="0.25">
      <c r="A289" t="s">
        <v>382</v>
      </c>
      <c r="B289" t="s">
        <v>84</v>
      </c>
      <c r="C289">
        <v>500</v>
      </c>
      <c r="D289">
        <v>375</v>
      </c>
      <c r="E289">
        <v>35.96</v>
      </c>
      <c r="F289">
        <v>80.989999999999995</v>
      </c>
      <c r="H289">
        <v>185</v>
      </c>
      <c r="I289">
        <v>1</v>
      </c>
    </row>
    <row r="290" spans="1:9" x14ac:dyDescent="0.25">
      <c r="A290" t="s">
        <v>383</v>
      </c>
      <c r="B290" t="s">
        <v>84</v>
      </c>
      <c r="C290">
        <v>500</v>
      </c>
      <c r="D290">
        <v>375</v>
      </c>
      <c r="E290">
        <v>17.98</v>
      </c>
      <c r="F290">
        <v>40.49</v>
      </c>
      <c r="H290">
        <v>189</v>
      </c>
      <c r="I290">
        <v>1</v>
      </c>
    </row>
    <row r="291" spans="1:9" x14ac:dyDescent="0.25">
      <c r="A291" t="s">
        <v>384</v>
      </c>
      <c r="C291">
        <v>500</v>
      </c>
      <c r="D291">
        <v>375</v>
      </c>
      <c r="E291">
        <v>98.77</v>
      </c>
      <c r="F291">
        <v>133.34</v>
      </c>
      <c r="I291">
        <v>1</v>
      </c>
    </row>
    <row r="292" spans="1:9" x14ac:dyDescent="0.25">
      <c r="A292" t="s">
        <v>385</v>
      </c>
      <c r="C292">
        <v>500</v>
      </c>
      <c r="D292">
        <v>375</v>
      </c>
      <c r="E292">
        <v>108.99</v>
      </c>
      <c r="F292">
        <v>147.13999999999999</v>
      </c>
      <c r="I292">
        <v>1</v>
      </c>
    </row>
    <row r="293" spans="1:9" x14ac:dyDescent="0.25">
      <c r="A293" t="s">
        <v>386</v>
      </c>
      <c r="C293">
        <v>500</v>
      </c>
      <c r="D293">
        <v>375</v>
      </c>
      <c r="E293">
        <v>145.87</v>
      </c>
      <c r="F293">
        <v>196.92</v>
      </c>
      <c r="I293">
        <v>1</v>
      </c>
    </row>
    <row r="294" spans="1:9" x14ac:dyDescent="0.25">
      <c r="A294" t="s">
        <v>387</v>
      </c>
      <c r="C294">
        <v>500</v>
      </c>
      <c r="D294">
        <v>375</v>
      </c>
      <c r="E294">
        <v>98.77</v>
      </c>
      <c r="F294">
        <v>133.34</v>
      </c>
      <c r="I294">
        <v>1</v>
      </c>
    </row>
    <row r="295" spans="1:9" x14ac:dyDescent="0.25">
      <c r="A295" t="s">
        <v>388</v>
      </c>
      <c r="C295">
        <v>500</v>
      </c>
      <c r="D295">
        <v>375</v>
      </c>
      <c r="E295">
        <v>108.99</v>
      </c>
      <c r="F295">
        <v>147.13999999999999</v>
      </c>
      <c r="I295">
        <v>1</v>
      </c>
    </row>
    <row r="296" spans="1:9" x14ac:dyDescent="0.25">
      <c r="A296" t="s">
        <v>389</v>
      </c>
      <c r="C296">
        <v>500</v>
      </c>
      <c r="D296">
        <v>375</v>
      </c>
      <c r="E296">
        <v>145.87</v>
      </c>
      <c r="F296">
        <v>196.92</v>
      </c>
      <c r="I296">
        <v>1</v>
      </c>
    </row>
    <row r="297" spans="1:9" x14ac:dyDescent="0.25">
      <c r="A297" t="s">
        <v>390</v>
      </c>
      <c r="C297">
        <v>500</v>
      </c>
      <c r="D297">
        <v>375</v>
      </c>
      <c r="E297">
        <v>17.38</v>
      </c>
      <c r="F297">
        <v>39.14</v>
      </c>
      <c r="I297">
        <v>1</v>
      </c>
    </row>
    <row r="298" spans="1:9" x14ac:dyDescent="0.25">
      <c r="A298" t="s">
        <v>391</v>
      </c>
      <c r="C298">
        <v>500</v>
      </c>
      <c r="D298">
        <v>375</v>
      </c>
      <c r="E298">
        <v>23.37</v>
      </c>
      <c r="F298">
        <v>52.64</v>
      </c>
      <c r="I298">
        <v>1</v>
      </c>
    </row>
    <row r="299" spans="1:9" x14ac:dyDescent="0.25">
      <c r="A299" t="s">
        <v>392</v>
      </c>
      <c r="C299">
        <v>500</v>
      </c>
      <c r="D299">
        <v>375</v>
      </c>
      <c r="E299">
        <v>8.0399999999999991</v>
      </c>
      <c r="F299">
        <v>21.49</v>
      </c>
      <c r="I299">
        <v>0</v>
      </c>
    </row>
    <row r="300" spans="1:9" x14ac:dyDescent="0.25">
      <c r="A300" t="s">
        <v>393</v>
      </c>
      <c r="C300">
        <v>500</v>
      </c>
      <c r="D300">
        <v>375</v>
      </c>
      <c r="E300">
        <v>9.35</v>
      </c>
      <c r="F300">
        <v>24.99</v>
      </c>
      <c r="I300">
        <v>0</v>
      </c>
    </row>
    <row r="301" spans="1:9" x14ac:dyDescent="0.25">
      <c r="A301" t="s">
        <v>394</v>
      </c>
      <c r="B301" t="s">
        <v>87</v>
      </c>
      <c r="C301">
        <v>4</v>
      </c>
      <c r="D301">
        <v>3</v>
      </c>
      <c r="E301">
        <v>23.75</v>
      </c>
      <c r="F301">
        <v>63.5</v>
      </c>
      <c r="G301" t="s">
        <v>88</v>
      </c>
      <c r="I301">
        <v>0</v>
      </c>
    </row>
    <row r="302" spans="1:9" x14ac:dyDescent="0.25">
      <c r="A302" t="s">
        <v>395</v>
      </c>
      <c r="B302" t="s">
        <v>87</v>
      </c>
      <c r="C302">
        <v>4</v>
      </c>
      <c r="D302">
        <v>3</v>
      </c>
      <c r="E302">
        <v>23.75</v>
      </c>
      <c r="F302">
        <v>63.5</v>
      </c>
      <c r="G302" t="s">
        <v>80</v>
      </c>
      <c r="I302">
        <v>0</v>
      </c>
    </row>
    <row r="303" spans="1:9" x14ac:dyDescent="0.25">
      <c r="A303" t="s">
        <v>396</v>
      </c>
      <c r="B303" t="s">
        <v>70</v>
      </c>
      <c r="C303">
        <v>500</v>
      </c>
      <c r="D303">
        <v>375</v>
      </c>
      <c r="E303">
        <v>204.63</v>
      </c>
      <c r="F303">
        <v>337.22</v>
      </c>
      <c r="G303">
        <v>44</v>
      </c>
      <c r="H303">
        <v>2.3199999999999998</v>
      </c>
      <c r="I303">
        <v>1</v>
      </c>
    </row>
    <row r="304" spans="1:9" x14ac:dyDescent="0.25">
      <c r="A304" t="s">
        <v>397</v>
      </c>
      <c r="B304" t="s">
        <v>70</v>
      </c>
      <c r="C304">
        <v>500</v>
      </c>
      <c r="D304">
        <v>375</v>
      </c>
      <c r="E304">
        <v>204.63</v>
      </c>
      <c r="F304">
        <v>337.22</v>
      </c>
      <c r="G304">
        <v>48</v>
      </c>
      <c r="H304">
        <v>2.36</v>
      </c>
      <c r="I304">
        <v>1</v>
      </c>
    </row>
    <row r="305" spans="1:9" x14ac:dyDescent="0.25">
      <c r="A305" t="s">
        <v>398</v>
      </c>
      <c r="B305" t="s">
        <v>70</v>
      </c>
      <c r="C305">
        <v>500</v>
      </c>
      <c r="D305">
        <v>375</v>
      </c>
      <c r="E305">
        <v>204.63</v>
      </c>
      <c r="F305">
        <v>337.22</v>
      </c>
      <c r="G305">
        <v>52</v>
      </c>
      <c r="H305">
        <v>2.4</v>
      </c>
      <c r="I305">
        <v>1</v>
      </c>
    </row>
    <row r="306" spans="1:9" x14ac:dyDescent="0.25">
      <c r="A306" t="s">
        <v>399</v>
      </c>
      <c r="B306" t="s">
        <v>74</v>
      </c>
      <c r="C306">
        <v>100</v>
      </c>
      <c r="D306">
        <v>75</v>
      </c>
      <c r="E306">
        <v>13.09</v>
      </c>
      <c r="F306">
        <v>35</v>
      </c>
      <c r="I306">
        <v>0</v>
      </c>
    </row>
    <row r="307" spans="1:9" ht="12" customHeight="1" x14ac:dyDescent="0.25">
      <c r="A307" t="s">
        <v>400</v>
      </c>
      <c r="C307">
        <v>100</v>
      </c>
      <c r="D307">
        <v>75</v>
      </c>
      <c r="E307">
        <v>13.09</v>
      </c>
      <c r="F307">
        <v>35</v>
      </c>
      <c r="I30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6281-E93B-4B6D-871D-8F0D6BBB01C1}">
  <dimension ref="A1:G21"/>
  <sheetViews>
    <sheetView workbookViewId="0">
      <selection activeCell="G10" sqref="G10"/>
    </sheetView>
  </sheetViews>
  <sheetFormatPr defaultRowHeight="15" x14ac:dyDescent="0.25"/>
  <cols>
    <col min="2" max="2" width="16.28515625" bestFit="1" customWidth="1"/>
    <col min="3" max="3" width="10.85546875" customWidth="1"/>
    <col min="4" max="4" width="14.7109375" bestFit="1" customWidth="1"/>
    <col min="5" max="5" width="20.7109375" bestFit="1" customWidth="1"/>
    <col min="7" max="7" width="24.85546875" customWidth="1"/>
  </cols>
  <sheetData>
    <row r="1" spans="1:7" ht="23.25" x14ac:dyDescent="0.35">
      <c r="A1" s="1" t="s">
        <v>0</v>
      </c>
    </row>
    <row r="2" spans="1:7" ht="20.25" thickBot="1" x14ac:dyDescent="0.35">
      <c r="A2" s="11" t="s">
        <v>406</v>
      </c>
      <c r="B2" s="4"/>
      <c r="C2" s="4"/>
      <c r="D2" s="4"/>
      <c r="E2" s="4"/>
      <c r="G2" s="28" t="s">
        <v>405</v>
      </c>
    </row>
    <row r="3" spans="1:7" ht="15.75" thickTop="1" x14ac:dyDescent="0.25">
      <c r="A3" s="29" t="s">
        <v>401</v>
      </c>
      <c r="B3" s="30" t="s">
        <v>60</v>
      </c>
      <c r="C3" s="30" t="s">
        <v>402</v>
      </c>
      <c r="D3" s="30" t="s">
        <v>403</v>
      </c>
      <c r="E3" s="31" t="s">
        <v>404</v>
      </c>
      <c r="G3" s="32" cm="1">
        <f t="array" ref="G3">SUMIF(Quantity,"&lt;",DueDate)</f>
        <v>0</v>
      </c>
    </row>
    <row r="4" spans="1:7" x14ac:dyDescent="0.25">
      <c r="A4" s="19">
        <v>15000</v>
      </c>
      <c r="B4" s="20" t="s">
        <v>90</v>
      </c>
      <c r="C4" s="19">
        <v>4</v>
      </c>
      <c r="D4" s="21">
        <v>45302</v>
      </c>
      <c r="E4" s="21">
        <v>45316</v>
      </c>
    </row>
    <row r="5" spans="1:7" x14ac:dyDescent="0.25">
      <c r="A5" s="22">
        <v>15001</v>
      </c>
      <c r="B5" s="23" t="s">
        <v>91</v>
      </c>
      <c r="C5" s="22">
        <v>4</v>
      </c>
      <c r="D5" s="24">
        <v>45309</v>
      </c>
      <c r="E5" s="24">
        <v>45403</v>
      </c>
    </row>
    <row r="6" spans="1:7" x14ac:dyDescent="0.25">
      <c r="A6" s="22">
        <v>15002</v>
      </c>
      <c r="B6" s="23" t="s">
        <v>92</v>
      </c>
      <c r="C6" s="22">
        <v>4</v>
      </c>
      <c r="D6" s="24">
        <v>45333</v>
      </c>
      <c r="E6" s="24">
        <v>45402</v>
      </c>
    </row>
    <row r="7" spans="1:7" x14ac:dyDescent="0.25">
      <c r="A7" s="22">
        <v>15003</v>
      </c>
      <c r="B7" s="23" t="s">
        <v>93</v>
      </c>
      <c r="C7" s="22">
        <v>4</v>
      </c>
      <c r="D7" s="24">
        <v>45363</v>
      </c>
      <c r="E7" s="24">
        <v>45440</v>
      </c>
    </row>
    <row r="8" spans="1:7" x14ac:dyDescent="0.25">
      <c r="A8" s="22">
        <v>15004</v>
      </c>
      <c r="B8" s="23" t="s">
        <v>94</v>
      </c>
      <c r="C8" s="22">
        <v>4</v>
      </c>
      <c r="D8" s="24">
        <v>45353</v>
      </c>
      <c r="E8" s="24">
        <v>45406</v>
      </c>
    </row>
    <row r="9" spans="1:7" x14ac:dyDescent="0.25">
      <c r="A9" s="22">
        <v>15005</v>
      </c>
      <c r="B9" s="23" t="s">
        <v>95</v>
      </c>
      <c r="C9" s="22">
        <v>4</v>
      </c>
      <c r="D9" s="24">
        <v>45372</v>
      </c>
      <c r="E9" s="24">
        <v>45413</v>
      </c>
    </row>
    <row r="10" spans="1:7" x14ac:dyDescent="0.25">
      <c r="A10" s="22">
        <v>15006</v>
      </c>
      <c r="B10" s="23" t="s">
        <v>96</v>
      </c>
      <c r="C10" s="22">
        <v>4</v>
      </c>
      <c r="D10" s="24">
        <v>45366</v>
      </c>
      <c r="E10" s="24">
        <v>45466</v>
      </c>
    </row>
    <row r="11" spans="1:7" x14ac:dyDescent="0.25">
      <c r="A11" s="22">
        <v>15007</v>
      </c>
      <c r="B11" s="23" t="s">
        <v>97</v>
      </c>
      <c r="C11" s="22">
        <v>4</v>
      </c>
      <c r="D11" s="24">
        <v>45360</v>
      </c>
      <c r="E11" s="24">
        <v>45379</v>
      </c>
    </row>
    <row r="12" spans="1:7" x14ac:dyDescent="0.25">
      <c r="A12" s="22">
        <v>15008</v>
      </c>
      <c r="B12" s="23" t="s">
        <v>98</v>
      </c>
      <c r="C12" s="22">
        <v>40</v>
      </c>
      <c r="D12" s="24">
        <v>45388</v>
      </c>
      <c r="E12" s="24">
        <v>45417</v>
      </c>
    </row>
    <row r="13" spans="1:7" x14ac:dyDescent="0.25">
      <c r="A13" s="22">
        <v>15009</v>
      </c>
      <c r="B13" s="23" t="s">
        <v>99</v>
      </c>
      <c r="C13" s="22">
        <v>8</v>
      </c>
      <c r="D13" s="24">
        <v>45361</v>
      </c>
      <c r="E13" s="24">
        <v>45427</v>
      </c>
    </row>
    <row r="14" spans="1:7" x14ac:dyDescent="0.25">
      <c r="A14" s="22">
        <v>15010</v>
      </c>
      <c r="B14" s="23" t="s">
        <v>100</v>
      </c>
      <c r="C14" s="22">
        <v>4</v>
      </c>
      <c r="D14" s="24">
        <v>45385</v>
      </c>
      <c r="E14" s="24">
        <v>45454</v>
      </c>
    </row>
    <row r="15" spans="1:7" x14ac:dyDescent="0.25">
      <c r="A15" s="22">
        <v>15011</v>
      </c>
      <c r="B15" s="23" t="s">
        <v>101</v>
      </c>
      <c r="C15" s="22">
        <v>8</v>
      </c>
      <c r="D15" s="24">
        <v>45399</v>
      </c>
      <c r="E15" s="24">
        <v>45465</v>
      </c>
    </row>
    <row r="16" spans="1:7" x14ac:dyDescent="0.25">
      <c r="A16" s="22">
        <v>15012</v>
      </c>
      <c r="B16" s="23" t="s">
        <v>102</v>
      </c>
      <c r="C16" s="22">
        <v>4</v>
      </c>
      <c r="D16" s="24">
        <v>45353</v>
      </c>
      <c r="E16" s="24">
        <v>45359</v>
      </c>
    </row>
    <row r="17" spans="1:5" x14ac:dyDescent="0.25">
      <c r="A17" s="22">
        <v>15013</v>
      </c>
      <c r="B17" s="23" t="s">
        <v>103</v>
      </c>
      <c r="C17" s="22">
        <v>4</v>
      </c>
      <c r="D17" s="24">
        <v>45317</v>
      </c>
      <c r="E17" s="24">
        <v>45399</v>
      </c>
    </row>
    <row r="18" spans="1:5" x14ac:dyDescent="0.25">
      <c r="A18" s="22">
        <v>15014</v>
      </c>
      <c r="B18" s="23" t="s">
        <v>104</v>
      </c>
      <c r="C18" s="22">
        <v>8</v>
      </c>
      <c r="D18" s="24">
        <v>45335</v>
      </c>
      <c r="E18" s="24">
        <v>45405</v>
      </c>
    </row>
    <row r="19" spans="1:5" x14ac:dyDescent="0.25">
      <c r="A19" s="22">
        <v>15015</v>
      </c>
      <c r="B19" s="23" t="s">
        <v>105</v>
      </c>
      <c r="C19" s="22">
        <v>4</v>
      </c>
      <c r="D19" s="24">
        <v>45320</v>
      </c>
      <c r="E19" s="24">
        <v>45337</v>
      </c>
    </row>
    <row r="20" spans="1:5" x14ac:dyDescent="0.25">
      <c r="A20" s="22">
        <v>15016</v>
      </c>
      <c r="B20" s="23" t="s">
        <v>106</v>
      </c>
      <c r="C20" s="22">
        <v>16</v>
      </c>
      <c r="D20" s="24">
        <v>45328</v>
      </c>
      <c r="E20" s="24">
        <v>45400</v>
      </c>
    </row>
    <row r="21" spans="1:5" x14ac:dyDescent="0.25">
      <c r="A21" s="25">
        <v>15017</v>
      </c>
      <c r="B21" s="26" t="s">
        <v>107</v>
      </c>
      <c r="C21" s="25">
        <v>4</v>
      </c>
      <c r="D21" s="27">
        <v>45361</v>
      </c>
      <c r="E21" s="27">
        <v>45447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09CB-6119-48FF-89C3-053AD6D3EA03}">
  <dimension ref="A1:G10"/>
  <sheetViews>
    <sheetView workbookViewId="0">
      <selection activeCell="F3" sqref="A3:F3"/>
    </sheetView>
  </sheetViews>
  <sheetFormatPr defaultRowHeight="15" x14ac:dyDescent="0.25"/>
  <cols>
    <col min="1" max="1" width="15.42578125" customWidth="1"/>
    <col min="2" max="2" width="23.28515625" customWidth="1"/>
    <col min="3" max="3" width="17.28515625" customWidth="1"/>
    <col min="4" max="4" width="16.5703125" customWidth="1"/>
    <col min="5" max="5" width="18.140625" bestFit="1" customWidth="1"/>
    <col min="6" max="6" width="15" bestFit="1" customWidth="1"/>
  </cols>
  <sheetData>
    <row r="1" spans="1:7" ht="23.25" x14ac:dyDescent="0.35">
      <c r="A1" s="1" t="s">
        <v>0</v>
      </c>
    </row>
    <row r="2" spans="1:7" ht="19.5" x14ac:dyDescent="0.3">
      <c r="A2" s="11" t="s">
        <v>1</v>
      </c>
    </row>
    <row r="3" spans="1:7" x14ac:dyDescent="0.25">
      <c r="A3" s="12" t="s">
        <v>2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/>
    </row>
    <row r="4" spans="1:7" x14ac:dyDescent="0.25">
      <c r="A4" s="14" t="s">
        <v>8</v>
      </c>
      <c r="B4" t="s">
        <v>21</v>
      </c>
      <c r="C4" t="s">
        <v>22</v>
      </c>
      <c r="D4" s="16">
        <v>22.5</v>
      </c>
      <c r="E4" s="14">
        <v>50</v>
      </c>
      <c r="F4" s="14">
        <v>96</v>
      </c>
    </row>
    <row r="5" spans="1:7" x14ac:dyDescent="0.25">
      <c r="A5" s="14" t="s">
        <v>9</v>
      </c>
      <c r="B5" t="s">
        <v>23</v>
      </c>
      <c r="C5" t="s">
        <v>24</v>
      </c>
      <c r="D5" s="16">
        <v>25</v>
      </c>
      <c r="E5" s="14">
        <v>80</v>
      </c>
      <c r="F5" s="14">
        <v>108</v>
      </c>
    </row>
    <row r="6" spans="1:7" x14ac:dyDescent="0.25">
      <c r="A6" s="14" t="s">
        <v>10</v>
      </c>
      <c r="B6" t="s">
        <v>25</v>
      </c>
      <c r="C6" t="s">
        <v>26</v>
      </c>
      <c r="D6" s="16">
        <v>14.5</v>
      </c>
      <c r="E6" s="14">
        <v>100</v>
      </c>
      <c r="F6" s="14">
        <v>120</v>
      </c>
    </row>
    <row r="7" spans="1:7" x14ac:dyDescent="0.25">
      <c r="A7" s="14" t="s">
        <v>11</v>
      </c>
      <c r="B7" t="s">
        <v>27</v>
      </c>
      <c r="C7" t="s">
        <v>28</v>
      </c>
      <c r="D7" s="16">
        <v>15.75</v>
      </c>
      <c r="E7" s="14">
        <v>125</v>
      </c>
      <c r="F7" s="14">
        <v>120</v>
      </c>
    </row>
    <row r="8" spans="1:7" x14ac:dyDescent="0.25">
      <c r="A8" s="14" t="s">
        <v>12</v>
      </c>
      <c r="B8" t="s">
        <v>29</v>
      </c>
      <c r="C8" t="s">
        <v>30</v>
      </c>
      <c r="D8" s="16">
        <v>18</v>
      </c>
      <c r="E8" s="14">
        <v>65</v>
      </c>
      <c r="F8" s="14">
        <v>80</v>
      </c>
    </row>
    <row r="9" spans="1:7" x14ac:dyDescent="0.25">
      <c r="A9" s="14" t="s">
        <v>13</v>
      </c>
      <c r="B9" t="s">
        <v>31</v>
      </c>
      <c r="C9" t="s">
        <v>32</v>
      </c>
      <c r="D9" s="16">
        <v>12.25</v>
      </c>
      <c r="E9" s="14">
        <v>150</v>
      </c>
      <c r="F9" s="14">
        <v>120</v>
      </c>
    </row>
    <row r="10" spans="1:7" x14ac:dyDescent="0.25">
      <c r="A10" s="14" t="s">
        <v>14</v>
      </c>
      <c r="B10" t="s">
        <v>33</v>
      </c>
      <c r="C10" t="s">
        <v>34</v>
      </c>
      <c r="D10" s="16">
        <v>12.25</v>
      </c>
      <c r="E10" s="14">
        <v>200</v>
      </c>
      <c r="F10" s="14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29F-C1AF-4498-8B82-8D60213CF66B}">
  <dimension ref="A1:F24"/>
  <sheetViews>
    <sheetView workbookViewId="0">
      <selection activeCell="K2" sqref="K2"/>
    </sheetView>
  </sheetViews>
  <sheetFormatPr defaultRowHeight="15" x14ac:dyDescent="0.25"/>
  <cols>
    <col min="1" max="1" width="25.42578125" customWidth="1"/>
    <col min="2" max="2" width="11.85546875" bestFit="1" customWidth="1"/>
    <col min="3" max="3" width="11" customWidth="1"/>
    <col min="4" max="4" width="11.28515625" customWidth="1"/>
    <col min="5" max="5" width="12.85546875" customWidth="1"/>
    <col min="6" max="6" width="11.7109375" customWidth="1"/>
  </cols>
  <sheetData>
    <row r="1" spans="1:6" ht="23.25" x14ac:dyDescent="0.35">
      <c r="A1" s="1" t="s">
        <v>57</v>
      </c>
    </row>
    <row r="2" spans="1:6" ht="19.5" x14ac:dyDescent="0.3">
      <c r="A2" s="11" t="s">
        <v>58</v>
      </c>
    </row>
    <row r="4" spans="1:6" x14ac:dyDescent="0.25">
      <c r="A4" s="17" t="s">
        <v>35</v>
      </c>
      <c r="B4" s="12" t="s">
        <v>36</v>
      </c>
      <c r="C4" s="12" t="s">
        <v>3</v>
      </c>
      <c r="D4" s="12" t="s">
        <v>4</v>
      </c>
      <c r="E4" s="12" t="s">
        <v>5</v>
      </c>
      <c r="F4" s="12" t="s">
        <v>6</v>
      </c>
    </row>
    <row r="5" spans="1:6" x14ac:dyDescent="0.25">
      <c r="A5" t="s">
        <v>37</v>
      </c>
      <c r="B5">
        <v>1062</v>
      </c>
    </row>
    <row r="6" spans="1:6" x14ac:dyDescent="0.25">
      <c r="A6" t="s">
        <v>38</v>
      </c>
      <c r="B6">
        <v>1034</v>
      </c>
    </row>
    <row r="7" spans="1:6" x14ac:dyDescent="0.25">
      <c r="A7" t="s">
        <v>39</v>
      </c>
      <c r="B7">
        <v>1081</v>
      </c>
    </row>
    <row r="8" spans="1:6" x14ac:dyDescent="0.25">
      <c r="A8" t="s">
        <v>40</v>
      </c>
      <c r="B8">
        <v>1084</v>
      </c>
    </row>
    <row r="9" spans="1:6" x14ac:dyDescent="0.25">
      <c r="A9" t="s">
        <v>41</v>
      </c>
      <c r="B9">
        <v>1045</v>
      </c>
    </row>
    <row r="10" spans="1:6" x14ac:dyDescent="0.25">
      <c r="A10" t="s">
        <v>42</v>
      </c>
      <c r="B10">
        <v>1004</v>
      </c>
    </row>
    <row r="11" spans="1:6" x14ac:dyDescent="0.25">
      <c r="A11" t="s">
        <v>43</v>
      </c>
      <c r="B11">
        <v>1072</v>
      </c>
    </row>
    <row r="12" spans="1:6" x14ac:dyDescent="0.25">
      <c r="A12" t="s">
        <v>44</v>
      </c>
      <c r="B12">
        <v>1079</v>
      </c>
    </row>
    <row r="13" spans="1:6" x14ac:dyDescent="0.25">
      <c r="A13" t="s">
        <v>45</v>
      </c>
      <c r="B13">
        <v>1044</v>
      </c>
    </row>
    <row r="14" spans="1:6" x14ac:dyDescent="0.25">
      <c r="A14" t="s">
        <v>46</v>
      </c>
      <c r="B14">
        <v>1096</v>
      </c>
    </row>
    <row r="15" spans="1:6" x14ac:dyDescent="0.25">
      <c r="A15" t="s">
        <v>47</v>
      </c>
      <c r="B15">
        <v>1097</v>
      </c>
    </row>
    <row r="16" spans="1:6" x14ac:dyDescent="0.25">
      <c r="A16" t="s">
        <v>48</v>
      </c>
      <c r="B16">
        <v>1087</v>
      </c>
    </row>
    <row r="17" spans="1:2" x14ac:dyDescent="0.25">
      <c r="A17" t="s">
        <v>49</v>
      </c>
      <c r="B17">
        <v>1086</v>
      </c>
    </row>
    <row r="18" spans="1:2" x14ac:dyDescent="0.25">
      <c r="A18" t="s">
        <v>50</v>
      </c>
      <c r="B18">
        <v>1101</v>
      </c>
    </row>
    <row r="19" spans="1:2" x14ac:dyDescent="0.25">
      <c r="A19" t="s">
        <v>51</v>
      </c>
      <c r="B19">
        <v>1102</v>
      </c>
    </row>
    <row r="20" spans="1:2" x14ac:dyDescent="0.25">
      <c r="A20" t="s">
        <v>52</v>
      </c>
      <c r="B20">
        <v>1008</v>
      </c>
    </row>
    <row r="21" spans="1:2" x14ac:dyDescent="0.25">
      <c r="A21" t="s">
        <v>53</v>
      </c>
      <c r="B21">
        <v>1092</v>
      </c>
    </row>
    <row r="22" spans="1:2" x14ac:dyDescent="0.25">
      <c r="A22" t="s">
        <v>54</v>
      </c>
      <c r="B22">
        <v>1005</v>
      </c>
    </row>
    <row r="23" spans="1:2" x14ac:dyDescent="0.25">
      <c r="A23" t="s">
        <v>55</v>
      </c>
      <c r="B23">
        <v>1043</v>
      </c>
    </row>
    <row r="24" spans="1:2" x14ac:dyDescent="0.25">
      <c r="A24" t="s">
        <v>56</v>
      </c>
      <c r="B24">
        <v>1011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Work Sites</vt:lpstr>
      <vt:lpstr>Sales Projections</vt:lpstr>
      <vt:lpstr>Inventory</vt:lpstr>
      <vt:lpstr>Orders</vt:lpstr>
      <vt:lpstr>Locations</vt:lpstr>
      <vt:lpstr>Loyalty</vt:lpstr>
      <vt:lpstr>DueDate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2026-01-30T19:12:19Z</dcterms:modified>
</cp:coreProperties>
</file>